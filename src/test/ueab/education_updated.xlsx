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 tabRatio="761" firstSheet="10" activeTab="21"/>
  </bookViews>
  <sheets>
    <sheet name="TGEOHIST" sheetId="1" r:id="rId1"/>
    <sheet name="TGEOKIS" sheetId="2" r:id="rId2"/>
    <sheet name="THISTKIS" sheetId="3" r:id="rId3"/>
    <sheet name="THISTCRE" sheetId="4" r:id="rId4"/>
    <sheet name="TCREGEO" sheetId="5" r:id="rId5"/>
    <sheet name="TCREKIS" sheetId="6" r:id="rId6"/>
    <sheet name="TENGLIT" sheetId="7" r:id="rId7"/>
    <sheet name="TCHEAGR" sheetId="8" r:id="rId8"/>
    <sheet name="TBIOAGR" sheetId="9" r:id="rId9"/>
    <sheet name="THOSAGR" sheetId="10" r:id="rId10"/>
    <sheet name="TCHEMAT" sheetId="11" r:id="rId11"/>
    <sheet name="TMATPHY" sheetId="12" r:id="rId12"/>
    <sheet name="TCOMMAT" sheetId="13" r:id="rId13"/>
    <sheet name="TMATBIO" sheetId="14" r:id="rId14"/>
    <sheet name="TMATBUS" sheetId="16" r:id="rId15"/>
    <sheet name="TCHEBIO" sheetId="17" r:id="rId16"/>
    <sheet name="TCHEPHY" sheetId="18" r:id="rId17"/>
    <sheet name="TCOMPHY" sheetId="19" r:id="rId18"/>
    <sheet name="TGEOBIO" sheetId="21" r:id="rId19"/>
    <sheet name="THOSBIO" sheetId="22" r:id="rId20"/>
    <sheet name="TCHEHOS" sheetId="23" r:id="rId21"/>
    <sheet name="TGEOBUS" sheetId="25" r:id="rId22"/>
    <sheet name="TBIOBUS" sheetId="26" r:id="rId23"/>
    <sheet name="TBUSCHE" sheetId="27" r:id="rId24"/>
    <sheet name="TGEOAGR" sheetId="28" r:id="rId2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0" i="28" l="1"/>
  <c r="B79" i="28"/>
  <c r="B78" i="28"/>
  <c r="B77" i="28"/>
  <c r="F69" i="28"/>
  <c r="F70" i="28"/>
  <c r="F71" i="28"/>
  <c r="F72" i="28"/>
  <c r="F73" i="28"/>
  <c r="F74" i="28"/>
  <c r="F68" i="28"/>
  <c r="F61" i="28"/>
  <c r="F62" i="28"/>
  <c r="F63" i="28"/>
  <c r="F64" i="28"/>
  <c r="F65" i="28"/>
  <c r="F60" i="28"/>
  <c r="F57" i="28"/>
  <c r="F50" i="28"/>
  <c r="F51" i="28"/>
  <c r="F52" i="28"/>
  <c r="F53" i="28"/>
  <c r="F54" i="28"/>
  <c r="F49" i="28"/>
  <c r="F42" i="28"/>
  <c r="F43" i="28"/>
  <c r="F44" i="28"/>
  <c r="F45" i="28"/>
  <c r="F46" i="28"/>
  <c r="F41" i="28"/>
  <c r="F34" i="28"/>
  <c r="F35" i="28"/>
  <c r="F36" i="28"/>
  <c r="F37" i="28"/>
  <c r="F38" i="28"/>
  <c r="F33" i="28"/>
  <c r="F26" i="28"/>
  <c r="F27" i="28"/>
  <c r="F28" i="28"/>
  <c r="F29" i="28"/>
  <c r="F30" i="28"/>
  <c r="F25" i="28"/>
  <c r="F15" i="28"/>
  <c r="F16" i="28"/>
  <c r="F17" i="28"/>
  <c r="F18" i="28"/>
  <c r="F19" i="28"/>
  <c r="F20" i="28"/>
  <c r="F21" i="28"/>
  <c r="F22" i="28"/>
  <c r="F14" i="28"/>
  <c r="F5" i="28"/>
  <c r="F6" i="28"/>
  <c r="F7" i="28"/>
  <c r="F8" i="28"/>
  <c r="F9" i="28"/>
  <c r="F10" i="28"/>
  <c r="F11" i="28"/>
  <c r="F4" i="28"/>
  <c r="F55" i="27"/>
  <c r="F71" i="27"/>
  <c r="F72" i="27"/>
  <c r="F73" i="27"/>
  <c r="F74" i="27"/>
  <c r="B81" i="27" s="1"/>
  <c r="F70" i="27"/>
  <c r="F59" i="27"/>
  <c r="F60" i="27"/>
  <c r="F61" i="27"/>
  <c r="F62" i="27"/>
  <c r="F63" i="27"/>
  <c r="F58" i="27"/>
  <c r="F48" i="27"/>
  <c r="F49" i="27"/>
  <c r="F50" i="27"/>
  <c r="F51" i="27"/>
  <c r="F52" i="27"/>
  <c r="F47" i="27"/>
  <c r="F40" i="27"/>
  <c r="F41" i="27"/>
  <c r="F42" i="27"/>
  <c r="F43" i="27"/>
  <c r="F44" i="27"/>
  <c r="F39" i="27"/>
  <c r="F31" i="27"/>
  <c r="F32" i="27"/>
  <c r="F33" i="27"/>
  <c r="F34" i="27"/>
  <c r="F35" i="27"/>
  <c r="F36" i="27"/>
  <c r="F30" i="27"/>
  <c r="F23" i="27"/>
  <c r="F24" i="27"/>
  <c r="F25" i="27"/>
  <c r="F26" i="27"/>
  <c r="F27" i="27"/>
  <c r="F22" i="27"/>
  <c r="F13" i="27"/>
  <c r="F14" i="27"/>
  <c r="F15" i="27"/>
  <c r="F16" i="27"/>
  <c r="F17" i="27"/>
  <c r="F18" i="27"/>
  <c r="F19" i="27"/>
  <c r="F12" i="27"/>
  <c r="F5" i="27"/>
  <c r="F6" i="27"/>
  <c r="F7" i="27"/>
  <c r="F8" i="27"/>
  <c r="B79" i="27" s="1"/>
  <c r="F9" i="27"/>
  <c r="F4" i="27"/>
  <c r="B78" i="27"/>
  <c r="B74" i="26"/>
  <c r="F65" i="26"/>
  <c r="F66" i="26"/>
  <c r="F67" i="26"/>
  <c r="F68" i="26"/>
  <c r="F64" i="26"/>
  <c r="F57" i="26"/>
  <c r="F58" i="26"/>
  <c r="F59" i="26"/>
  <c r="F60" i="26"/>
  <c r="F61" i="26"/>
  <c r="F56" i="26"/>
  <c r="F53" i="26"/>
  <c r="F46" i="26"/>
  <c r="F47" i="26"/>
  <c r="F48" i="26"/>
  <c r="F49" i="26"/>
  <c r="F50" i="26"/>
  <c r="F45" i="26"/>
  <c r="F38" i="26"/>
  <c r="F39" i="26"/>
  <c r="F40" i="26"/>
  <c r="F41" i="26"/>
  <c r="F42" i="26"/>
  <c r="F37" i="26"/>
  <c r="F30" i="26"/>
  <c r="F31" i="26"/>
  <c r="F32" i="26"/>
  <c r="F33" i="26"/>
  <c r="F34" i="26"/>
  <c r="F29" i="26"/>
  <c r="F23" i="26"/>
  <c r="F24" i="26"/>
  <c r="F25" i="26"/>
  <c r="F26" i="26"/>
  <c r="F22" i="26"/>
  <c r="F13" i="26"/>
  <c r="F14" i="26"/>
  <c r="F15" i="26"/>
  <c r="B72" i="26" s="1"/>
  <c r="F16" i="26"/>
  <c r="F17" i="26"/>
  <c r="F18" i="26"/>
  <c r="F19" i="26"/>
  <c r="F12" i="26"/>
  <c r="B75" i="26" s="1"/>
  <c r="F5" i="26"/>
  <c r="F6" i="26"/>
  <c r="F7" i="26"/>
  <c r="F8" i="26"/>
  <c r="F9" i="26"/>
  <c r="F4" i="26"/>
  <c r="B75" i="25"/>
  <c r="B76" i="25"/>
  <c r="B74" i="25"/>
  <c r="B73" i="25"/>
  <c r="F72" i="23"/>
  <c r="F73" i="23"/>
  <c r="F74" i="23"/>
  <c r="F75" i="23"/>
  <c r="F76" i="23"/>
  <c r="F77" i="23"/>
  <c r="F71" i="23"/>
  <c r="F60" i="23"/>
  <c r="F61" i="23"/>
  <c r="F62" i="23"/>
  <c r="F63" i="23"/>
  <c r="F64" i="23"/>
  <c r="F59" i="23"/>
  <c r="F56" i="23"/>
  <c r="F49" i="23"/>
  <c r="F50" i="23"/>
  <c r="F51" i="23"/>
  <c r="F52" i="23"/>
  <c r="F53" i="23"/>
  <c r="F48" i="23"/>
  <c r="F40" i="23"/>
  <c r="F41" i="23"/>
  <c r="F42" i="23"/>
  <c r="F43" i="23"/>
  <c r="F44" i="23"/>
  <c r="F45" i="23"/>
  <c r="F39" i="23"/>
  <c r="F32" i="23"/>
  <c r="F33" i="23"/>
  <c r="F34" i="23"/>
  <c r="F35" i="23"/>
  <c r="F36" i="23"/>
  <c r="F31" i="23"/>
  <c r="F28" i="23"/>
  <c r="F23" i="23"/>
  <c r="F24" i="23"/>
  <c r="F25" i="23"/>
  <c r="F26" i="23"/>
  <c r="F27" i="23"/>
  <c r="F22" i="23"/>
  <c r="F19" i="23"/>
  <c r="F14" i="23"/>
  <c r="F15" i="23"/>
  <c r="F16" i="23"/>
  <c r="F17" i="23"/>
  <c r="F18" i="23"/>
  <c r="F13" i="23"/>
  <c r="F5" i="23"/>
  <c r="F6" i="23"/>
  <c r="F7" i="23"/>
  <c r="F8" i="23"/>
  <c r="F9" i="23"/>
  <c r="F10" i="23"/>
  <c r="F4" i="23"/>
  <c r="B84" i="23"/>
  <c r="B81" i="23"/>
  <c r="F68" i="22"/>
  <c r="F69" i="22"/>
  <c r="F70" i="22"/>
  <c r="F71" i="22"/>
  <c r="B76" i="22" s="1"/>
  <c r="F72" i="22"/>
  <c r="F67" i="22"/>
  <c r="F59" i="22"/>
  <c r="F60" i="22"/>
  <c r="F61" i="22"/>
  <c r="F62" i="22"/>
  <c r="F63" i="22"/>
  <c r="F64" i="22"/>
  <c r="F58" i="22"/>
  <c r="F55" i="22"/>
  <c r="F48" i="22"/>
  <c r="F49" i="22"/>
  <c r="F50" i="22"/>
  <c r="F51" i="22"/>
  <c r="F52" i="22"/>
  <c r="F47" i="22"/>
  <c r="F40" i="22"/>
  <c r="F41" i="22"/>
  <c r="F42" i="22"/>
  <c r="F43" i="22"/>
  <c r="F44" i="22"/>
  <c r="F39" i="22"/>
  <c r="F32" i="22"/>
  <c r="F33" i="22"/>
  <c r="F34" i="22"/>
  <c r="F35" i="22"/>
  <c r="F36" i="22"/>
  <c r="F31" i="22"/>
  <c r="F23" i="22"/>
  <c r="F24" i="22"/>
  <c r="F25" i="22"/>
  <c r="F26" i="22"/>
  <c r="F27" i="22"/>
  <c r="F28" i="22"/>
  <c r="F22" i="22"/>
  <c r="F14" i="22"/>
  <c r="F15" i="22"/>
  <c r="F16" i="22"/>
  <c r="F17" i="22"/>
  <c r="F18" i="22"/>
  <c r="F19" i="22"/>
  <c r="F13" i="22"/>
  <c r="F5" i="22"/>
  <c r="F6" i="22"/>
  <c r="F7" i="22"/>
  <c r="F8" i="22"/>
  <c r="F9" i="22"/>
  <c r="F10" i="22"/>
  <c r="F4" i="22"/>
  <c r="F66" i="21"/>
  <c r="F67" i="21"/>
  <c r="F68" i="21"/>
  <c r="F69" i="21"/>
  <c r="F70" i="21"/>
  <c r="F65" i="21"/>
  <c r="F58" i="21"/>
  <c r="F59" i="21"/>
  <c r="F60" i="21"/>
  <c r="F61" i="21"/>
  <c r="F62" i="21"/>
  <c r="F57" i="21"/>
  <c r="F54" i="21"/>
  <c r="F47" i="21"/>
  <c r="F48" i="21"/>
  <c r="F49" i="21"/>
  <c r="F50" i="21"/>
  <c r="F51" i="21"/>
  <c r="F46" i="21"/>
  <c r="F39" i="21"/>
  <c r="F40" i="21"/>
  <c r="F41" i="21"/>
  <c r="B75" i="21" s="1"/>
  <c r="F42" i="21"/>
  <c r="B77" i="21" s="1"/>
  <c r="F43" i="21"/>
  <c r="F38" i="21"/>
  <c r="F30" i="21"/>
  <c r="F31" i="21"/>
  <c r="F32" i="21"/>
  <c r="F33" i="21"/>
  <c r="B74" i="21" s="1"/>
  <c r="F34" i="21"/>
  <c r="F35" i="21"/>
  <c r="F29" i="21"/>
  <c r="F22" i="21"/>
  <c r="F23" i="21"/>
  <c r="F24" i="21"/>
  <c r="F25" i="21"/>
  <c r="F26" i="21"/>
  <c r="F21" i="21"/>
  <c r="F13" i="21"/>
  <c r="F14" i="21"/>
  <c r="F15" i="21"/>
  <c r="F16" i="21"/>
  <c r="F17" i="21"/>
  <c r="F18" i="21"/>
  <c r="F12" i="21"/>
  <c r="F5" i="21"/>
  <c r="F6" i="21"/>
  <c r="F7" i="21"/>
  <c r="F8" i="21"/>
  <c r="F9" i="21"/>
  <c r="F4" i="21"/>
  <c r="F65" i="19"/>
  <c r="F66" i="19"/>
  <c r="F67" i="19"/>
  <c r="F68" i="19"/>
  <c r="F69" i="19"/>
  <c r="F70" i="19"/>
  <c r="F64" i="19"/>
  <c r="F57" i="19"/>
  <c r="F58" i="19"/>
  <c r="F59" i="19"/>
  <c r="F60" i="19"/>
  <c r="F61" i="19"/>
  <c r="F56" i="19"/>
  <c r="F53" i="19"/>
  <c r="F46" i="19"/>
  <c r="F47" i="19"/>
  <c r="F48" i="19"/>
  <c r="F49" i="19"/>
  <c r="F50" i="19"/>
  <c r="F45" i="19"/>
  <c r="F38" i="19"/>
  <c r="F39" i="19"/>
  <c r="F40" i="19"/>
  <c r="F41" i="19"/>
  <c r="F42" i="19"/>
  <c r="F37" i="19"/>
  <c r="F30" i="19"/>
  <c r="F31" i="19"/>
  <c r="F32" i="19"/>
  <c r="B76" i="19" s="1"/>
  <c r="F33" i="19"/>
  <c r="F34" i="19"/>
  <c r="F29" i="19"/>
  <c r="F22" i="19"/>
  <c r="F23" i="19"/>
  <c r="F24" i="19"/>
  <c r="F25" i="19"/>
  <c r="F26" i="19"/>
  <c r="F21" i="19"/>
  <c r="F13" i="19"/>
  <c r="F14" i="19"/>
  <c r="F15" i="19"/>
  <c r="F16" i="19"/>
  <c r="F17" i="19"/>
  <c r="F18" i="19"/>
  <c r="F12" i="19"/>
  <c r="F5" i="19"/>
  <c r="F6" i="19"/>
  <c r="F7" i="19"/>
  <c r="F8" i="19"/>
  <c r="F9" i="19"/>
  <c r="F4" i="19"/>
  <c r="B77" i="19" s="1"/>
  <c r="B75" i="19"/>
  <c r="B74" i="19"/>
  <c r="B81" i="28" l="1"/>
  <c r="B80" i="27"/>
  <c r="B82" i="27" s="1"/>
  <c r="B73" i="26"/>
  <c r="B76" i="26" s="1"/>
  <c r="B77" i="25"/>
  <c r="B83" i="23"/>
  <c r="B82" i="23"/>
  <c r="B78" i="22"/>
  <c r="B79" i="22"/>
  <c r="B77" i="22"/>
  <c r="B80" i="22" s="1"/>
  <c r="B76" i="21"/>
  <c r="B78" i="21" s="1"/>
  <c r="B85" i="23" l="1"/>
  <c r="B78" i="19" l="1"/>
  <c r="F70" i="18"/>
  <c r="F71" i="18"/>
  <c r="F72" i="18"/>
  <c r="F73" i="18"/>
  <c r="F74" i="18"/>
  <c r="F69" i="18"/>
  <c r="F59" i="18"/>
  <c r="F60" i="18"/>
  <c r="F61" i="18"/>
  <c r="F62" i="18"/>
  <c r="F63" i="18"/>
  <c r="F58" i="18"/>
  <c r="F55" i="18"/>
  <c r="F48" i="18"/>
  <c r="F49" i="18"/>
  <c r="F50" i="18"/>
  <c r="F51" i="18"/>
  <c r="F52" i="18"/>
  <c r="F47" i="18"/>
  <c r="F39" i="18"/>
  <c r="F40" i="18"/>
  <c r="F41" i="18"/>
  <c r="F42" i="18"/>
  <c r="F43" i="18"/>
  <c r="F44" i="18"/>
  <c r="F38" i="18"/>
  <c r="F30" i="18"/>
  <c r="F31" i="18"/>
  <c r="F32" i="18"/>
  <c r="F33" i="18"/>
  <c r="F34" i="18"/>
  <c r="F35" i="18"/>
  <c r="F29" i="18"/>
  <c r="F22" i="18"/>
  <c r="F23" i="18"/>
  <c r="F24" i="18"/>
  <c r="F25" i="18"/>
  <c r="F26" i="18"/>
  <c r="F21" i="18"/>
  <c r="F13" i="18"/>
  <c r="F14" i="18"/>
  <c r="F15" i="18"/>
  <c r="F16" i="18"/>
  <c r="F17" i="18"/>
  <c r="F18" i="18"/>
  <c r="F12" i="18"/>
  <c r="F5" i="18"/>
  <c r="F6" i="18"/>
  <c r="F7" i="18"/>
  <c r="F8" i="18"/>
  <c r="F9" i="18"/>
  <c r="F4" i="18"/>
  <c r="B85" i="18"/>
  <c r="F5" i="17"/>
  <c r="F6" i="17"/>
  <c r="F7" i="17"/>
  <c r="F8" i="17"/>
  <c r="F9" i="17"/>
  <c r="F4" i="17"/>
  <c r="F69" i="17"/>
  <c r="F70" i="17"/>
  <c r="F71" i="17"/>
  <c r="F72" i="17"/>
  <c r="B77" i="17" s="1"/>
  <c r="F73" i="17"/>
  <c r="F68" i="17"/>
  <c r="F58" i="17"/>
  <c r="F59" i="17"/>
  <c r="F60" i="17"/>
  <c r="F61" i="17"/>
  <c r="F62" i="17"/>
  <c r="F57" i="17"/>
  <c r="F54" i="17"/>
  <c r="F47" i="17"/>
  <c r="F48" i="17"/>
  <c r="F49" i="17"/>
  <c r="F50" i="17"/>
  <c r="F51" i="17"/>
  <c r="F46" i="17"/>
  <c r="F39" i="17"/>
  <c r="F40" i="17"/>
  <c r="F41" i="17"/>
  <c r="F42" i="17"/>
  <c r="F43" i="17"/>
  <c r="F38" i="17"/>
  <c r="F30" i="17"/>
  <c r="F31" i="17"/>
  <c r="F32" i="17"/>
  <c r="F33" i="17"/>
  <c r="B78" i="17" s="1"/>
  <c r="F34" i="17"/>
  <c r="F35" i="17"/>
  <c r="F29" i="17"/>
  <c r="F22" i="17"/>
  <c r="F23" i="17"/>
  <c r="F24" i="17"/>
  <c r="F25" i="17"/>
  <c r="F26" i="17"/>
  <c r="F21" i="17"/>
  <c r="F13" i="17"/>
  <c r="B80" i="17" s="1"/>
  <c r="F14" i="17"/>
  <c r="F15" i="17"/>
  <c r="F16" i="17"/>
  <c r="F17" i="17"/>
  <c r="F18" i="17"/>
  <c r="F12" i="17"/>
  <c r="B77" i="16"/>
  <c r="B76" i="16"/>
  <c r="B75" i="16"/>
  <c r="B74" i="16"/>
  <c r="F66" i="14"/>
  <c r="F67" i="14"/>
  <c r="F68" i="14"/>
  <c r="F69" i="14"/>
  <c r="F70" i="14"/>
  <c r="F71" i="14"/>
  <c r="F65" i="14"/>
  <c r="F58" i="14"/>
  <c r="F59" i="14"/>
  <c r="F60" i="14"/>
  <c r="F61" i="14"/>
  <c r="F62" i="14"/>
  <c r="F57" i="14"/>
  <c r="F54" i="14"/>
  <c r="F47" i="14"/>
  <c r="F48" i="14"/>
  <c r="F49" i="14"/>
  <c r="F50" i="14"/>
  <c r="F51" i="14"/>
  <c r="F46" i="14"/>
  <c r="F39" i="14"/>
  <c r="F40" i="14"/>
  <c r="F41" i="14"/>
  <c r="F42" i="14"/>
  <c r="F43" i="14"/>
  <c r="F38" i="14"/>
  <c r="F30" i="14"/>
  <c r="F31" i="14"/>
  <c r="F32" i="14"/>
  <c r="F33" i="14"/>
  <c r="F34" i="14"/>
  <c r="F35" i="14"/>
  <c r="F29" i="14"/>
  <c r="F22" i="14"/>
  <c r="F23" i="14"/>
  <c r="F24" i="14"/>
  <c r="F25" i="14"/>
  <c r="F26" i="14"/>
  <c r="F21" i="14"/>
  <c r="F13" i="14"/>
  <c r="F14" i="14"/>
  <c r="F15" i="14"/>
  <c r="F16" i="14"/>
  <c r="F17" i="14"/>
  <c r="F18" i="14"/>
  <c r="F12" i="14"/>
  <c r="F5" i="14"/>
  <c r="F6" i="14"/>
  <c r="F7" i="14"/>
  <c r="F8" i="14"/>
  <c r="F9" i="14"/>
  <c r="F4" i="14"/>
  <c r="B75" i="14"/>
  <c r="B76" i="13"/>
  <c r="B75" i="13"/>
  <c r="B74" i="13"/>
  <c r="B73" i="13"/>
  <c r="B77" i="13" s="1"/>
  <c r="F71" i="12"/>
  <c r="F72" i="12"/>
  <c r="F73" i="12"/>
  <c r="F74" i="12"/>
  <c r="B79" i="12" s="1"/>
  <c r="F75" i="12"/>
  <c r="F70" i="12"/>
  <c r="F59" i="12"/>
  <c r="F60" i="12"/>
  <c r="F61" i="12"/>
  <c r="F62" i="12"/>
  <c r="F63" i="12"/>
  <c r="F58" i="12"/>
  <c r="F55" i="12"/>
  <c r="F48" i="12"/>
  <c r="F49" i="12"/>
  <c r="F50" i="12"/>
  <c r="F51" i="12"/>
  <c r="F52" i="12"/>
  <c r="F47" i="12"/>
  <c r="F39" i="12"/>
  <c r="F40" i="12"/>
  <c r="F41" i="12"/>
  <c r="F42" i="12"/>
  <c r="F43" i="12"/>
  <c r="F44" i="12"/>
  <c r="F38" i="12"/>
  <c r="F30" i="12"/>
  <c r="F31" i="12"/>
  <c r="F32" i="12"/>
  <c r="F33" i="12"/>
  <c r="F34" i="12"/>
  <c r="F35" i="12"/>
  <c r="F29" i="12"/>
  <c r="F22" i="12"/>
  <c r="F23" i="12"/>
  <c r="F24" i="12"/>
  <c r="F25" i="12"/>
  <c r="F26" i="12"/>
  <c r="F21" i="12"/>
  <c r="F13" i="12"/>
  <c r="F14" i="12"/>
  <c r="F15" i="12"/>
  <c r="F16" i="12"/>
  <c r="F17" i="12"/>
  <c r="F18" i="12"/>
  <c r="F12" i="12"/>
  <c r="F5" i="12"/>
  <c r="F6" i="12"/>
  <c r="F7" i="12"/>
  <c r="F8" i="12"/>
  <c r="F9" i="12"/>
  <c r="F4" i="12"/>
  <c r="B82" i="12"/>
  <c r="B80" i="12"/>
  <c r="B81" i="11"/>
  <c r="F71" i="11"/>
  <c r="F72" i="11"/>
  <c r="F73" i="11"/>
  <c r="F74" i="11"/>
  <c r="B79" i="11" s="1"/>
  <c r="F75" i="11"/>
  <c r="B80" i="11" s="1"/>
  <c r="F70" i="11"/>
  <c r="F59" i="11"/>
  <c r="F60" i="11"/>
  <c r="F61" i="11"/>
  <c r="F62" i="11"/>
  <c r="F63" i="11"/>
  <c r="F58" i="11"/>
  <c r="F55" i="11"/>
  <c r="F48" i="11"/>
  <c r="F49" i="11"/>
  <c r="F50" i="11"/>
  <c r="F51" i="11"/>
  <c r="F52" i="11"/>
  <c r="F47" i="11"/>
  <c r="F39" i="11"/>
  <c r="F40" i="11"/>
  <c r="F41" i="11"/>
  <c r="F42" i="11"/>
  <c r="F43" i="11"/>
  <c r="F44" i="11"/>
  <c r="F38" i="11"/>
  <c r="F30" i="11"/>
  <c r="F31" i="11"/>
  <c r="F32" i="11"/>
  <c r="F33" i="11"/>
  <c r="F34" i="11"/>
  <c r="F35" i="11"/>
  <c r="F29" i="11"/>
  <c r="F22" i="11"/>
  <c r="F23" i="11"/>
  <c r="F24" i="11"/>
  <c r="F25" i="11"/>
  <c r="F26" i="11"/>
  <c r="F21" i="11"/>
  <c r="F13" i="11"/>
  <c r="F14" i="11"/>
  <c r="F15" i="11"/>
  <c r="F16" i="11"/>
  <c r="F17" i="11"/>
  <c r="F18" i="11"/>
  <c r="F12" i="11"/>
  <c r="F5" i="11"/>
  <c r="F6" i="11"/>
  <c r="F7" i="11"/>
  <c r="F8" i="11"/>
  <c r="F9" i="11"/>
  <c r="F4" i="11"/>
  <c r="B82" i="11"/>
  <c r="F71" i="10"/>
  <c r="F72" i="10"/>
  <c r="F73" i="10"/>
  <c r="F74" i="10"/>
  <c r="F75" i="10"/>
  <c r="F76" i="10"/>
  <c r="F70" i="10"/>
  <c r="F63" i="10"/>
  <c r="F64" i="10"/>
  <c r="F65" i="10"/>
  <c r="F66" i="10"/>
  <c r="F67" i="10"/>
  <c r="F62" i="10"/>
  <c r="F59" i="10"/>
  <c r="F52" i="10"/>
  <c r="F53" i="10"/>
  <c r="F54" i="10"/>
  <c r="F55" i="10"/>
  <c r="F56" i="10"/>
  <c r="F51" i="10"/>
  <c r="F43" i="10"/>
  <c r="F44" i="10"/>
  <c r="F45" i="10"/>
  <c r="F46" i="10"/>
  <c r="F47" i="10"/>
  <c r="F48" i="10"/>
  <c r="F42" i="10"/>
  <c r="F35" i="10"/>
  <c r="F36" i="10"/>
  <c r="F37" i="10"/>
  <c r="F38" i="10"/>
  <c r="F39" i="10"/>
  <c r="F34" i="10"/>
  <c r="F26" i="10"/>
  <c r="F27" i="10"/>
  <c r="F28" i="10"/>
  <c r="F29" i="10"/>
  <c r="F30" i="10"/>
  <c r="F31" i="10"/>
  <c r="F25" i="10"/>
  <c r="F15" i="10"/>
  <c r="F16" i="10"/>
  <c r="F17" i="10"/>
  <c r="F18" i="10"/>
  <c r="F19" i="10"/>
  <c r="F20" i="10"/>
  <c r="F21" i="10"/>
  <c r="F22" i="10"/>
  <c r="F14" i="10"/>
  <c r="F5" i="10"/>
  <c r="F6" i="10"/>
  <c r="F7" i="10"/>
  <c r="F8" i="10"/>
  <c r="F9" i="10"/>
  <c r="F10" i="10"/>
  <c r="F11" i="10"/>
  <c r="F4" i="10"/>
  <c r="B83" i="10"/>
  <c r="B80" i="10"/>
  <c r="B82" i="9"/>
  <c r="F15" i="9"/>
  <c r="F16" i="9"/>
  <c r="F17" i="9"/>
  <c r="F18" i="9"/>
  <c r="F19" i="9"/>
  <c r="F20" i="9"/>
  <c r="F21" i="9"/>
  <c r="F22" i="9"/>
  <c r="F14" i="9"/>
  <c r="F5" i="9"/>
  <c r="F6" i="9"/>
  <c r="F7" i="9"/>
  <c r="F8" i="9"/>
  <c r="F9" i="9"/>
  <c r="F10" i="9"/>
  <c r="F11" i="9"/>
  <c r="F4" i="9"/>
  <c r="F70" i="9"/>
  <c r="F71" i="9"/>
  <c r="F72" i="9"/>
  <c r="F73" i="9"/>
  <c r="F74" i="9"/>
  <c r="F69" i="9"/>
  <c r="F62" i="9"/>
  <c r="F63" i="9"/>
  <c r="F64" i="9"/>
  <c r="F65" i="9"/>
  <c r="F66" i="9"/>
  <c r="F61" i="9"/>
  <c r="F58" i="9"/>
  <c r="F50" i="9"/>
  <c r="F51" i="9"/>
  <c r="F52" i="9"/>
  <c r="F53" i="9"/>
  <c r="F54" i="9"/>
  <c r="F49" i="9"/>
  <c r="F41" i="9"/>
  <c r="F42" i="9"/>
  <c r="F43" i="9"/>
  <c r="F44" i="9"/>
  <c r="F45" i="9"/>
  <c r="F46" i="9"/>
  <c r="F40" i="9"/>
  <c r="F33" i="9"/>
  <c r="F34" i="9"/>
  <c r="F35" i="9"/>
  <c r="F36" i="9"/>
  <c r="F37" i="9"/>
  <c r="F32" i="9"/>
  <c r="F26" i="9"/>
  <c r="F27" i="9"/>
  <c r="F28" i="9"/>
  <c r="F29" i="9"/>
  <c r="F25" i="9"/>
  <c r="B81" i="9"/>
  <c r="F58" i="8"/>
  <c r="F34" i="8"/>
  <c r="F35" i="8"/>
  <c r="F36" i="8"/>
  <c r="F37" i="8"/>
  <c r="B79" i="8" s="1"/>
  <c r="F38" i="8"/>
  <c r="F33" i="8"/>
  <c r="B81" i="8"/>
  <c r="B80" i="8"/>
  <c r="B78" i="8"/>
  <c r="F75" i="8"/>
  <c r="F70" i="8"/>
  <c r="F71" i="8"/>
  <c r="F72" i="8"/>
  <c r="F73" i="8"/>
  <c r="F74" i="8"/>
  <c r="F69" i="8"/>
  <c r="F62" i="8"/>
  <c r="F63" i="8"/>
  <c r="F64" i="8"/>
  <c r="F65" i="8"/>
  <c r="F66" i="8"/>
  <c r="F61" i="8"/>
  <c r="F59" i="8"/>
  <c r="F51" i="8"/>
  <c r="F52" i="8"/>
  <c r="F53" i="8"/>
  <c r="F54" i="8"/>
  <c r="F55" i="8"/>
  <c r="F50" i="8"/>
  <c r="F42" i="8"/>
  <c r="F43" i="8"/>
  <c r="F44" i="8"/>
  <c r="F45" i="8"/>
  <c r="F46" i="8"/>
  <c r="F47" i="8"/>
  <c r="F41" i="8"/>
  <c r="F31" i="8"/>
  <c r="F26" i="8"/>
  <c r="F27" i="8"/>
  <c r="F28" i="8"/>
  <c r="F29" i="8"/>
  <c r="F30" i="8"/>
  <c r="F25" i="8"/>
  <c r="F23" i="8"/>
  <c r="F15" i="8"/>
  <c r="F16" i="8"/>
  <c r="F17" i="8"/>
  <c r="F18" i="8"/>
  <c r="F19" i="8"/>
  <c r="F20" i="8"/>
  <c r="F21" i="8"/>
  <c r="F22" i="8"/>
  <c r="F14" i="8"/>
  <c r="F12" i="8"/>
  <c r="F5" i="8"/>
  <c r="F6" i="8"/>
  <c r="F7" i="8"/>
  <c r="F8" i="8"/>
  <c r="F9" i="8"/>
  <c r="F10" i="8"/>
  <c r="F11" i="8"/>
  <c r="F4" i="8"/>
  <c r="B76" i="7"/>
  <c r="B75" i="7"/>
  <c r="B77" i="7"/>
  <c r="B76" i="6"/>
  <c r="B75" i="6"/>
  <c r="B74" i="6"/>
  <c r="B73" i="6"/>
  <c r="B78" i="5"/>
  <c r="B77" i="5"/>
  <c r="B76" i="5"/>
  <c r="B75" i="5"/>
  <c r="B76" i="4"/>
  <c r="B75" i="4"/>
  <c r="B74" i="4"/>
  <c r="B77" i="4"/>
  <c r="B77" i="3"/>
  <c r="B76" i="3"/>
  <c r="B75" i="3"/>
  <c r="B74" i="3"/>
  <c r="B79" i="2"/>
  <c r="B78" i="2"/>
  <c r="B77" i="2"/>
  <c r="B76" i="2"/>
  <c r="B78" i="1"/>
  <c r="B77" i="1"/>
  <c r="B76" i="1"/>
  <c r="B75" i="1"/>
  <c r="B82" i="18" l="1"/>
  <c r="B83" i="18"/>
  <c r="B84" i="18"/>
  <c r="B86" i="18" s="1"/>
  <c r="B79" i="17"/>
  <c r="B81" i="17" s="1"/>
  <c r="B78" i="16"/>
  <c r="B78" i="14"/>
  <c r="B76" i="14"/>
  <c r="B77" i="14"/>
  <c r="B81" i="12"/>
  <c r="B83" i="12" s="1"/>
  <c r="B83" i="11"/>
  <c r="B82" i="10"/>
  <c r="B81" i="10"/>
  <c r="B84" i="10" s="1"/>
  <c r="B78" i="9"/>
  <c r="B79" i="9"/>
  <c r="B80" i="9"/>
  <c r="B82" i="8"/>
  <c r="B78" i="7"/>
  <c r="B77" i="6"/>
  <c r="B79" i="5"/>
  <c r="B78" i="4"/>
  <c r="B78" i="3"/>
  <c r="B80" i="2"/>
  <c r="B79" i="1"/>
  <c r="D51" i="16"/>
  <c r="B79" i="14" l="1"/>
  <c r="D55" i="28"/>
  <c r="D23" i="28"/>
  <c r="D12" i="28"/>
  <c r="D75" i="28"/>
  <c r="F75" i="28" s="1"/>
  <c r="D66" i="28"/>
  <c r="F66" i="28" s="1"/>
  <c r="D58" i="28"/>
  <c r="F55" i="28"/>
  <c r="D47" i="28"/>
  <c r="F47" i="28" s="1"/>
  <c r="D39" i="28"/>
  <c r="F39" i="28" s="1"/>
  <c r="D31" i="28"/>
  <c r="F31" i="28" s="1"/>
  <c r="D75" i="27"/>
  <c r="D64" i="27"/>
  <c r="F64" i="27" s="1"/>
  <c r="D56" i="27"/>
  <c r="E53" i="27"/>
  <c r="D53" i="27"/>
  <c r="E45" i="27"/>
  <c r="D45" i="27"/>
  <c r="D37" i="27"/>
  <c r="E37" i="27"/>
  <c r="F37" i="27" s="1"/>
  <c r="E28" i="27"/>
  <c r="D28" i="27"/>
  <c r="E20" i="27"/>
  <c r="D20" i="27"/>
  <c r="E10" i="27"/>
  <c r="D10" i="27"/>
  <c r="F23" i="28" l="1"/>
  <c r="F28" i="27"/>
  <c r="F53" i="27"/>
  <c r="F45" i="27"/>
  <c r="F10" i="27"/>
  <c r="F20" i="27"/>
  <c r="D69" i="26"/>
  <c r="D62" i="26"/>
  <c r="D54" i="26"/>
  <c r="E51" i="26"/>
  <c r="D51" i="26"/>
  <c r="F51" i="26" s="1"/>
  <c r="D43" i="26"/>
  <c r="F43" i="26" s="1"/>
  <c r="E35" i="26"/>
  <c r="D35" i="26"/>
  <c r="D27" i="26"/>
  <c r="F27" i="26" s="1"/>
  <c r="E20" i="26"/>
  <c r="D20" i="26"/>
  <c r="D10" i="26"/>
  <c r="F10" i="26" s="1"/>
  <c r="D70" i="25"/>
  <c r="D62" i="25"/>
  <c r="D54" i="25"/>
  <c r="D51" i="25"/>
  <c r="D43" i="25"/>
  <c r="D35" i="25"/>
  <c r="D27" i="25"/>
  <c r="D19" i="25"/>
  <c r="D9" i="25"/>
  <c r="F62" i="26" l="1"/>
  <c r="F35" i="26"/>
  <c r="F20" i="26"/>
  <c r="F78" i="23"/>
  <c r="D78" i="23"/>
  <c r="F65" i="23"/>
  <c r="D65" i="23"/>
  <c r="D57" i="23"/>
  <c r="F54" i="23"/>
  <c r="D54" i="23"/>
  <c r="D46" i="23"/>
  <c r="F46" i="23" s="1"/>
  <c r="D37" i="23"/>
  <c r="F37" i="23" s="1"/>
  <c r="D29" i="23"/>
  <c r="F29" i="23" s="1"/>
  <c r="D20" i="23"/>
  <c r="F20" i="23" s="1"/>
  <c r="D11" i="23" l="1"/>
  <c r="F11" i="23" s="1"/>
  <c r="F73" i="22"/>
  <c r="D73" i="22"/>
  <c r="D65" i="22"/>
  <c r="F65" i="22" s="1"/>
  <c r="D56" i="22"/>
  <c r="D53" i="22"/>
  <c r="F53" i="22" s="1"/>
  <c r="D45" i="22"/>
  <c r="F45" i="22" s="1"/>
  <c r="D37" i="22"/>
  <c r="F37" i="22" s="1"/>
  <c r="D29" i="22"/>
  <c r="F29" i="22" s="1"/>
  <c r="D20" i="22"/>
  <c r="F20" i="22" s="1"/>
  <c r="D11" i="22"/>
  <c r="F11" i="22" s="1"/>
  <c r="D71" i="21"/>
  <c r="F63" i="21"/>
  <c r="D63" i="21"/>
  <c r="D71" i="19"/>
  <c r="D55" i="21"/>
  <c r="F52" i="21"/>
  <c r="D52" i="21"/>
  <c r="D44" i="21"/>
  <c r="F44" i="21" s="1"/>
  <c r="D36" i="21"/>
  <c r="F36" i="21" s="1"/>
  <c r="D27" i="21"/>
  <c r="F27" i="21" s="1"/>
  <c r="D19" i="21"/>
  <c r="F19" i="21" s="1"/>
  <c r="D10" i="21"/>
  <c r="F10" i="21" s="1"/>
  <c r="D62" i="19"/>
  <c r="D54" i="19"/>
  <c r="D51" i="19"/>
  <c r="F51" i="19" s="1"/>
  <c r="D43" i="19"/>
  <c r="D35" i="19"/>
  <c r="D27" i="19"/>
  <c r="F27" i="19" s="1"/>
  <c r="D19" i="19"/>
  <c r="F19" i="19" s="1"/>
  <c r="D10" i="19"/>
  <c r="F10" i="19" s="1"/>
  <c r="F75" i="18"/>
  <c r="D75" i="18"/>
  <c r="D64" i="18"/>
  <c r="F64" i="18" s="1"/>
  <c r="D56" i="18"/>
  <c r="F53" i="18"/>
  <c r="D53" i="18"/>
  <c r="F45" i="18"/>
  <c r="D45" i="18"/>
  <c r="F36" i="18"/>
  <c r="D36" i="18"/>
  <c r="D27" i="18"/>
  <c r="F27" i="18" s="1"/>
  <c r="F19" i="18"/>
  <c r="D19" i="18"/>
  <c r="D10" i="18"/>
  <c r="F10" i="18" s="1"/>
  <c r="D74" i="17"/>
  <c r="F74" i="17" s="1"/>
  <c r="F63" i="17"/>
  <c r="D63" i="17"/>
  <c r="D55" i="17"/>
  <c r="F52" i="17"/>
  <c r="D52" i="17"/>
  <c r="F44" i="17"/>
  <c r="D44" i="17"/>
  <c r="F36" i="17"/>
  <c r="D36" i="17"/>
  <c r="F27" i="17"/>
  <c r="D27" i="17"/>
  <c r="F19" i="17"/>
  <c r="D19" i="17"/>
  <c r="F10" i="17"/>
  <c r="D10" i="17"/>
  <c r="D71" i="16"/>
  <c r="D62" i="16"/>
  <c r="D54" i="16"/>
  <c r="D43" i="16"/>
  <c r="D35" i="16"/>
  <c r="D18" i="16"/>
  <c r="D9" i="16"/>
  <c r="F72" i="14"/>
  <c r="D72" i="14"/>
  <c r="F63" i="14"/>
  <c r="D63" i="14"/>
  <c r="D55" i="14"/>
  <c r="D52" i="14"/>
  <c r="F52" i="14" s="1"/>
  <c r="F44" i="14"/>
  <c r="D44" i="14"/>
  <c r="D36" i="14"/>
  <c r="D27" i="14"/>
  <c r="F27" i="14" s="1"/>
  <c r="D19" i="14"/>
  <c r="F19" i="14" s="1"/>
  <c r="D10" i="14"/>
  <c r="F10" i="14" s="1"/>
  <c r="D70" i="13"/>
  <c r="D61" i="13"/>
  <c r="D53" i="13"/>
  <c r="D50" i="13"/>
  <c r="D42" i="13"/>
  <c r="D34" i="13"/>
  <c r="D26" i="13"/>
  <c r="D18" i="13"/>
  <c r="D9" i="13"/>
  <c r="D76" i="12"/>
  <c r="D64" i="12"/>
  <c r="D56" i="12"/>
  <c r="D53" i="12"/>
  <c r="F53" i="12" s="1"/>
  <c r="D45" i="12"/>
  <c r="D36" i="12"/>
  <c r="D27" i="12"/>
  <c r="F27" i="12" s="1"/>
  <c r="D19" i="12"/>
  <c r="F19" i="12" s="1"/>
  <c r="D10" i="12"/>
  <c r="F10" i="12" s="1"/>
  <c r="D76" i="11" l="1"/>
  <c r="F76" i="11" s="1"/>
  <c r="D64" i="11"/>
  <c r="F64" i="11" s="1"/>
  <c r="D56" i="11"/>
  <c r="D53" i="11"/>
  <c r="D45" i="11"/>
  <c r="F45" i="11" s="1"/>
  <c r="F36" i="11"/>
  <c r="D36" i="11"/>
  <c r="D27" i="11"/>
  <c r="F19" i="11"/>
  <c r="D19" i="11"/>
  <c r="D10" i="11"/>
  <c r="F10" i="11" s="1"/>
  <c r="F68" i="10"/>
  <c r="D68" i="10"/>
  <c r="F77" i="10"/>
  <c r="D77" i="10"/>
  <c r="D60" i="10"/>
  <c r="E57" i="10"/>
  <c r="F57" i="10" s="1"/>
  <c r="D57" i="10"/>
  <c r="D49" i="10"/>
  <c r="F49" i="10" s="1"/>
  <c r="F40" i="10"/>
  <c r="D40" i="10"/>
  <c r="D32" i="10"/>
  <c r="F32" i="10" s="1"/>
  <c r="F23" i="10"/>
  <c r="D23" i="10"/>
  <c r="D12" i="10"/>
  <c r="F12" i="10" s="1"/>
  <c r="F75" i="9" l="1"/>
  <c r="E75" i="9"/>
  <c r="D75" i="9"/>
  <c r="F67" i="9"/>
  <c r="E67" i="9"/>
  <c r="D67" i="9"/>
  <c r="D59" i="9"/>
  <c r="F55" i="9"/>
  <c r="E55" i="9"/>
  <c r="D55" i="9"/>
  <c r="F47" i="9"/>
  <c r="E47" i="9"/>
  <c r="D47" i="9"/>
  <c r="F38" i="9"/>
  <c r="E38" i="9"/>
  <c r="D38" i="9"/>
  <c r="F30" i="9"/>
  <c r="E30" i="9"/>
  <c r="D30" i="9"/>
  <c r="F23" i="9"/>
  <c r="E23" i="9"/>
  <c r="D23" i="9"/>
  <c r="F12" i="9"/>
  <c r="E12" i="9"/>
  <c r="D12" i="9"/>
  <c r="F67" i="8"/>
  <c r="E67" i="8"/>
  <c r="D67" i="8"/>
  <c r="D75" i="8"/>
  <c r="D55" i="7"/>
  <c r="D59" i="8"/>
  <c r="F48" i="8"/>
  <c r="E48" i="8"/>
  <c r="D48" i="8"/>
  <c r="F56" i="8"/>
  <c r="E56" i="8"/>
  <c r="D56" i="8"/>
  <c r="E39" i="8"/>
  <c r="D39" i="8"/>
  <c r="F39" i="8" s="1"/>
  <c r="D31" i="8"/>
  <c r="E23" i="8"/>
  <c r="D23" i="8"/>
  <c r="E12" i="8"/>
  <c r="D12" i="8"/>
  <c r="D71" i="7"/>
  <c r="D63" i="7"/>
  <c r="D52" i="7"/>
  <c r="D44" i="7"/>
  <c r="D36" i="7"/>
  <c r="D28" i="7"/>
  <c r="D19" i="7"/>
  <c r="D10" i="7"/>
  <c r="D70" i="6"/>
  <c r="D62" i="6"/>
  <c r="D54" i="6"/>
  <c r="D51" i="6"/>
  <c r="D43" i="6"/>
  <c r="D35" i="6"/>
  <c r="D27" i="6"/>
  <c r="D18" i="6"/>
  <c r="D9" i="6"/>
  <c r="D72" i="5" l="1"/>
  <c r="D64" i="5"/>
  <c r="D55" i="5"/>
  <c r="D51" i="5"/>
  <c r="D43" i="5"/>
  <c r="D35" i="5"/>
  <c r="D27" i="5"/>
  <c r="D19" i="5"/>
  <c r="D10" i="5"/>
  <c r="D53" i="4"/>
  <c r="D71" i="4"/>
  <c r="D62" i="4"/>
  <c r="D50" i="4"/>
  <c r="D42" i="4"/>
  <c r="D34" i="4"/>
  <c r="D26" i="4"/>
  <c r="D18" i="4"/>
  <c r="D9" i="4"/>
  <c r="D71" i="3"/>
  <c r="D63" i="3"/>
  <c r="D54" i="3"/>
  <c r="D51" i="3"/>
  <c r="D43" i="3"/>
  <c r="D35" i="3"/>
  <c r="D27" i="3"/>
  <c r="D19" i="3"/>
  <c r="D9" i="3"/>
  <c r="D73" i="2"/>
  <c r="D64" i="2"/>
  <c r="D55" i="2"/>
  <c r="D51" i="2"/>
  <c r="D43" i="2"/>
  <c r="D35" i="2"/>
  <c r="D26" i="2" l="1"/>
  <c r="D18" i="2"/>
  <c r="D9" i="2"/>
  <c r="D55" i="1" l="1"/>
  <c r="D52" i="1"/>
  <c r="D44" i="1"/>
  <c r="D36" i="1"/>
  <c r="D28" i="1"/>
  <c r="D19" i="1"/>
  <c r="D9" i="1"/>
  <c r="D64" i="1"/>
  <c r="D72" i="1"/>
</calcChain>
</file>

<file path=xl/sharedStrings.xml><?xml version="1.0" encoding="utf-8"?>
<sst xmlns="http://schemas.openxmlformats.org/spreadsheetml/2006/main" count="6798" uniqueCount="635">
  <si>
    <t>Proggramme</t>
  </si>
  <si>
    <t>Course Code</t>
  </si>
  <si>
    <t>Course Title</t>
  </si>
  <si>
    <t>SemesterCreditHours</t>
  </si>
  <si>
    <t>YearTaken</t>
  </si>
  <si>
    <t>SemesterTaken</t>
  </si>
  <si>
    <t>AssociatedType</t>
  </si>
  <si>
    <t>School</t>
  </si>
  <si>
    <t>Level</t>
  </si>
  <si>
    <t xml:space="preserve">MinRequirement </t>
  </si>
  <si>
    <t>CODE</t>
  </si>
  <si>
    <t>COURSE TITLE</t>
  </si>
  <si>
    <t>CR</t>
  </si>
  <si>
    <t>1ST</t>
  </si>
  <si>
    <t>FIRST</t>
  </si>
  <si>
    <t>TEACHING SUB: 1ST GEO..2ND HIST</t>
  </si>
  <si>
    <t>EDPC 106</t>
  </si>
  <si>
    <t>ENGL 105</t>
  </si>
  <si>
    <t>GEOG 130</t>
  </si>
  <si>
    <t>GEOG 111</t>
  </si>
  <si>
    <t>HIST 120</t>
  </si>
  <si>
    <t>HIST 106</t>
  </si>
  <si>
    <t>EDFO 260</t>
  </si>
  <si>
    <t>EDTE 180</t>
  </si>
  <si>
    <t>ENGL 106</t>
  </si>
  <si>
    <t>INSY 107</t>
  </si>
  <si>
    <t>GEOG 121</t>
  </si>
  <si>
    <t>GEOG 100</t>
  </si>
  <si>
    <t>POLS 100</t>
  </si>
  <si>
    <t>EDFO 130</t>
  </si>
  <si>
    <t>EDTE 210</t>
  </si>
  <si>
    <t>EDPC 238</t>
  </si>
  <si>
    <t>GEOG 221</t>
  </si>
  <si>
    <t>HIST 203</t>
  </si>
  <si>
    <t>HIST 204</t>
  </si>
  <si>
    <t>EDTE 255</t>
  </si>
  <si>
    <t>EDFO 280</t>
  </si>
  <si>
    <t>RELT 207</t>
  </si>
  <si>
    <t>GEOG 226</t>
  </si>
  <si>
    <t>HIST 213</t>
  </si>
  <si>
    <t>POLS 200</t>
  </si>
  <si>
    <t>EDTE 301</t>
  </si>
  <si>
    <t>EDTE 326</t>
  </si>
  <si>
    <t>GEOG 313</t>
  </si>
  <si>
    <t>GEOG 321</t>
  </si>
  <si>
    <t>POLS 230</t>
  </si>
  <si>
    <t>HIST 313</t>
  </si>
  <si>
    <t>EDTM 313</t>
  </si>
  <si>
    <t>EDTM 311</t>
  </si>
  <si>
    <t>EDTE 333</t>
  </si>
  <si>
    <t>GEOG 355</t>
  </si>
  <si>
    <t>HIST 345</t>
  </si>
  <si>
    <t>HIST 380</t>
  </si>
  <si>
    <t>EDTE 399</t>
  </si>
  <si>
    <t>EDFO 400</t>
  </si>
  <si>
    <t>EDFO 401</t>
  </si>
  <si>
    <t>GEOG 410</t>
  </si>
  <si>
    <t>HIST 440</t>
  </si>
  <si>
    <t>EDPC 244</t>
  </si>
  <si>
    <t>GEOG 326</t>
  </si>
  <si>
    <t>RELB 220</t>
  </si>
  <si>
    <t>EDFO 410</t>
  </si>
  <si>
    <t>EDFO 403</t>
  </si>
  <si>
    <t>GEOG 430</t>
  </si>
  <si>
    <t>GEOG 480</t>
  </si>
  <si>
    <t>HIST 447</t>
  </si>
  <si>
    <t>HIST 421</t>
  </si>
  <si>
    <t>Imperialism &amp; Nationalism in the Third World</t>
  </si>
  <si>
    <t>History of International Relation</t>
  </si>
  <si>
    <t>Independent Study in Geography</t>
  </si>
  <si>
    <t>Meteorology and Climatology</t>
  </si>
  <si>
    <t>Entrepreneurship Education</t>
  </si>
  <si>
    <t xml:space="preserve">Enviromental Education </t>
  </si>
  <si>
    <t>TOTAL</t>
  </si>
  <si>
    <t>Life and Teaching of Jesus Christ</t>
  </si>
  <si>
    <t xml:space="preserve">Agricultural Geography </t>
  </si>
  <si>
    <t xml:space="preserve">Educational Guidance and Counselling </t>
  </si>
  <si>
    <t>History of Politics ideas</t>
  </si>
  <si>
    <t>Reserch Methods in the Social Sciences</t>
  </si>
  <si>
    <t>Planning &amp; Economics of Educations</t>
  </si>
  <si>
    <t xml:space="preserve">Educational Policy &amp; Management </t>
  </si>
  <si>
    <t>SECOND</t>
  </si>
  <si>
    <t>GEOG 211</t>
  </si>
  <si>
    <t>2ND</t>
  </si>
  <si>
    <t>3RD</t>
  </si>
  <si>
    <t>INTER-SEM</t>
  </si>
  <si>
    <t>4TH</t>
  </si>
  <si>
    <t xml:space="preserve">Educational Psychology </t>
  </si>
  <si>
    <t>Writing Skills</t>
  </si>
  <si>
    <t>Introduction to Cartography, Map Work and Land Survey</t>
  </si>
  <si>
    <t xml:space="preserve">Introduction to Kenya History </t>
  </si>
  <si>
    <t xml:space="preserve">Sources of Africa History </t>
  </si>
  <si>
    <t>Core</t>
  </si>
  <si>
    <t>Teaching Geography</t>
  </si>
  <si>
    <t xml:space="preserve">Teaching History </t>
  </si>
  <si>
    <t>Philosophy Of Education</t>
  </si>
  <si>
    <t>Health aeducation &amp; Life Skills</t>
  </si>
  <si>
    <t xml:space="preserve">Speech Communicatio </t>
  </si>
  <si>
    <t xml:space="preserve">Informatio Technology Today </t>
  </si>
  <si>
    <t xml:space="preserve">Introduction to Geography </t>
  </si>
  <si>
    <t>Introduction to Government</t>
  </si>
  <si>
    <t>History of Education</t>
  </si>
  <si>
    <t xml:space="preserve">General Education Requirement </t>
  </si>
  <si>
    <t xml:space="preserve">Curriculum Development </t>
  </si>
  <si>
    <t xml:space="preserve">Human Growth &amp; Development </t>
  </si>
  <si>
    <t>Fundamentals of Human Geography II</t>
  </si>
  <si>
    <t>Fundamentals of Human Geography I</t>
  </si>
  <si>
    <t>Fundamentals of Physical Geography II</t>
  </si>
  <si>
    <t>Introduction to Africa History to 1884</t>
  </si>
  <si>
    <t>Introduction to Africa History since 1884</t>
  </si>
  <si>
    <t xml:space="preserve">Principles &amp; Methods of Teaching </t>
  </si>
  <si>
    <t>Sociology &amp; Comperative Education</t>
  </si>
  <si>
    <t>Themes in World history to 1500</t>
  </si>
  <si>
    <t>Mordern Government in Africa</t>
  </si>
  <si>
    <t xml:space="preserve">Geography of Tourism and Leisure </t>
  </si>
  <si>
    <t>Christian Beliefs</t>
  </si>
  <si>
    <t xml:space="preserve">Educational Comuunications &amp; Technology </t>
  </si>
  <si>
    <t xml:space="preserve">Educational Measurement &amp; Evaluation </t>
  </si>
  <si>
    <t>Geography of East Africa</t>
  </si>
  <si>
    <t xml:space="preserve">Remote Sensing </t>
  </si>
  <si>
    <t>Comparative Government in Developed Countries</t>
  </si>
  <si>
    <t xml:space="preserve">Themes in East Africa History </t>
  </si>
  <si>
    <t xml:space="preserve">Methods Teaching Geography </t>
  </si>
  <si>
    <t xml:space="preserve">Methods Teaching History </t>
  </si>
  <si>
    <t xml:space="preserve">Research ethods in Education </t>
  </si>
  <si>
    <t>Geographical Information System(GIS)</t>
  </si>
  <si>
    <t xml:space="preserve">Teaching Practice in Secondary aschool </t>
  </si>
  <si>
    <t>TEACHING SUB: 1ST GEO..2ND KISW</t>
  </si>
  <si>
    <t>KISW 114</t>
  </si>
  <si>
    <t>KISW 110</t>
  </si>
  <si>
    <t>Language Skills in Kiswahili</t>
  </si>
  <si>
    <t>Inttroduction to the Study of Language</t>
  </si>
  <si>
    <t>KISW 111</t>
  </si>
  <si>
    <t>KISW 120</t>
  </si>
  <si>
    <t>Historical Development of Kiswahili</t>
  </si>
  <si>
    <t>Phonetics and Phonology</t>
  </si>
  <si>
    <t xml:space="preserve">2ND </t>
  </si>
  <si>
    <t>KISW 265</t>
  </si>
  <si>
    <t xml:space="preserve">Remte Sensing </t>
  </si>
  <si>
    <t>KISW 225</t>
  </si>
  <si>
    <t>KISW 285</t>
  </si>
  <si>
    <t>Information Technology Todat</t>
  </si>
  <si>
    <t xml:space="preserve">Speech Communication </t>
  </si>
  <si>
    <t xml:space="preserve">Second Language Learning </t>
  </si>
  <si>
    <t>Kiswahili Morphology and Syntax</t>
  </si>
  <si>
    <t>KISW 315</t>
  </si>
  <si>
    <t>KISW 350</t>
  </si>
  <si>
    <t xml:space="preserve">Education Communication and Technology </t>
  </si>
  <si>
    <t>Theories of Literary Criticsm</t>
  </si>
  <si>
    <t>Oral Literature in Kiswahili</t>
  </si>
  <si>
    <t xml:space="preserve">Entrepreneurship Education </t>
  </si>
  <si>
    <t>EDTM 316</t>
  </si>
  <si>
    <t>KISW 365</t>
  </si>
  <si>
    <t>KISW 395</t>
  </si>
  <si>
    <t xml:space="preserve">Methods Teaching Kiswahili </t>
  </si>
  <si>
    <t xml:space="preserve">Contemporary kiswahili Novel and Play </t>
  </si>
  <si>
    <t xml:space="preserve">Research Methods in Language and Litrature </t>
  </si>
  <si>
    <t xml:space="preserve">Research Methods in Education </t>
  </si>
  <si>
    <t xml:space="preserve">4TH </t>
  </si>
  <si>
    <t xml:space="preserve">FIRST </t>
  </si>
  <si>
    <t>KISW 420</t>
  </si>
  <si>
    <t>KISW 422</t>
  </si>
  <si>
    <t>Semantics and Pragmatics in Kiswahili</t>
  </si>
  <si>
    <t>Textual and Discourse Analysis in Kiswahili</t>
  </si>
  <si>
    <t>KISW 425</t>
  </si>
  <si>
    <t>Kiswahili Poetry</t>
  </si>
  <si>
    <t xml:space="preserve">Christian Belief </t>
  </si>
  <si>
    <t>Life and Teaching of Jesus</t>
  </si>
  <si>
    <t>Teaching Kiswahili</t>
  </si>
  <si>
    <t>TEACHING SUB: 1ST HIST..2ND KISW</t>
  </si>
  <si>
    <t>Speech Communication</t>
  </si>
  <si>
    <t xml:space="preserve">Information Technology Today </t>
  </si>
  <si>
    <t xml:space="preserve">Introduction to Government </t>
  </si>
  <si>
    <t xml:space="preserve">Education Guidance &amp; Counseling </t>
  </si>
  <si>
    <t xml:space="preserve">3RD </t>
  </si>
  <si>
    <t>Methods Teaching History</t>
  </si>
  <si>
    <t xml:space="preserve">Methods of Historical Research </t>
  </si>
  <si>
    <t xml:space="preserve">Life &amp; Teaching of Jesus </t>
  </si>
  <si>
    <t>Pholosophy of History</t>
  </si>
  <si>
    <t>Education, Humanities and Social Sciences</t>
  </si>
  <si>
    <t>TEACHING SUB: 1ST CRE..2ND HIST</t>
  </si>
  <si>
    <t>RELH 114</t>
  </si>
  <si>
    <t xml:space="preserve">Introduction History of Christian Church History </t>
  </si>
  <si>
    <t>RELT 131</t>
  </si>
  <si>
    <t>RELT 128</t>
  </si>
  <si>
    <t>African Traditional Religion</t>
  </si>
  <si>
    <t>Adventist History and Philosophy</t>
  </si>
  <si>
    <t>RELB 204</t>
  </si>
  <si>
    <t>Old Testament</t>
  </si>
  <si>
    <t>RELT 280</t>
  </si>
  <si>
    <t>RELT 231</t>
  </si>
  <si>
    <t>RELT 216</t>
  </si>
  <si>
    <t>Philosophy of Religion</t>
  </si>
  <si>
    <t>Phenomenology of Religion</t>
  </si>
  <si>
    <t>Comparative Religion</t>
  </si>
  <si>
    <t>RELT 330</t>
  </si>
  <si>
    <t>RELB 331</t>
  </si>
  <si>
    <t xml:space="preserve">Islamic Studies </t>
  </si>
  <si>
    <t xml:space="preserve">New Testament Studies </t>
  </si>
  <si>
    <t>EDTM 312</t>
  </si>
  <si>
    <t>RELT 418</t>
  </si>
  <si>
    <t xml:space="preserve">Methods Teaching Religious Education </t>
  </si>
  <si>
    <t>New Religious Movement in Africa</t>
  </si>
  <si>
    <t>RELT 427</t>
  </si>
  <si>
    <t>RELT 435</t>
  </si>
  <si>
    <t>RELT 337</t>
  </si>
  <si>
    <t>Christian Doctrine</t>
  </si>
  <si>
    <t>Issues in Ecumenism</t>
  </si>
  <si>
    <t xml:space="preserve">Sociology of Religion </t>
  </si>
  <si>
    <t>RELT 460</t>
  </si>
  <si>
    <t>RELT 480</t>
  </si>
  <si>
    <t>Contemporary Themes in Christian Theology</t>
  </si>
  <si>
    <t>History of Christian Church in Africa</t>
  </si>
  <si>
    <t>Teaching Christian Religious Education</t>
  </si>
  <si>
    <t>TEACHING SUB: 1ST CRE..2ND GEO</t>
  </si>
  <si>
    <t xml:space="preserve">SECOND </t>
  </si>
  <si>
    <t>TEACHING SUB: 1ST CRE..2ND KISW</t>
  </si>
  <si>
    <t>TEACHING SUB: 1ST ENG LANG..2ND ENG LIT</t>
  </si>
  <si>
    <t>ENGL 114</t>
  </si>
  <si>
    <t>LITE 151</t>
  </si>
  <si>
    <t>ENGL 130</t>
  </si>
  <si>
    <t>LITE 165</t>
  </si>
  <si>
    <t xml:space="preserve">Introduction to Description of English </t>
  </si>
  <si>
    <t>Introduction to Literary Appreciation</t>
  </si>
  <si>
    <t xml:space="preserve">Introduction to the Study of Language </t>
  </si>
  <si>
    <t>Stylistics</t>
  </si>
  <si>
    <t>Teaching English</t>
  </si>
  <si>
    <t xml:space="preserve">Teaching Litrature </t>
  </si>
  <si>
    <t>ENGL 148</t>
  </si>
  <si>
    <t>LITE 154</t>
  </si>
  <si>
    <t>LITE 210</t>
  </si>
  <si>
    <t xml:space="preserve">RELT 207 </t>
  </si>
  <si>
    <t>Introduction to Oral Litrature</t>
  </si>
  <si>
    <t>East Africa Prose Fiction</t>
  </si>
  <si>
    <t>ENGL 216</t>
  </si>
  <si>
    <t>ENG 217</t>
  </si>
  <si>
    <t>LITE 212</t>
  </si>
  <si>
    <t>East Africa Poetry</t>
  </si>
  <si>
    <t xml:space="preserve">Phonetics and Phonology </t>
  </si>
  <si>
    <t xml:space="preserve">Origins and Development of English </t>
  </si>
  <si>
    <t>ENGL 218</t>
  </si>
  <si>
    <t>LITE 214</t>
  </si>
  <si>
    <t>ENGL 219</t>
  </si>
  <si>
    <t>LITE 260</t>
  </si>
  <si>
    <t>Morphology and Syntax</t>
  </si>
  <si>
    <t>East Africa Drama</t>
  </si>
  <si>
    <t>English Grammar and Usage II</t>
  </si>
  <si>
    <t>English Grammar and Usage I</t>
  </si>
  <si>
    <t xml:space="preserve">Children's Litrature </t>
  </si>
  <si>
    <t>LITE 346</t>
  </si>
  <si>
    <t>ENGL 302</t>
  </si>
  <si>
    <t>LITE 347</t>
  </si>
  <si>
    <t xml:space="preserve">Life and Teaching of Jesus </t>
  </si>
  <si>
    <t>Introduction to Literary Theory and Critism</t>
  </si>
  <si>
    <t>Language Policy and Issues</t>
  </si>
  <si>
    <t>South Africa Litrature</t>
  </si>
  <si>
    <t>Methods Teaching English Language</t>
  </si>
  <si>
    <t xml:space="preserve">Methods Teaching Litrature in English </t>
  </si>
  <si>
    <t>LITE 348</t>
  </si>
  <si>
    <t>ENGL 305</t>
  </si>
  <si>
    <t>ENGL 347</t>
  </si>
  <si>
    <t>European Litrature</t>
  </si>
  <si>
    <t>English Structure and Semantics</t>
  </si>
  <si>
    <t>Second Language Acquisition</t>
  </si>
  <si>
    <t>LITE 456</t>
  </si>
  <si>
    <t>ENGL 469</t>
  </si>
  <si>
    <t>ENGL 456</t>
  </si>
  <si>
    <t>LITE 466</t>
  </si>
  <si>
    <t>Caribbean Litrature</t>
  </si>
  <si>
    <t>ResearchProject/Seminar</t>
  </si>
  <si>
    <t xml:space="preserve">Varieties of English </t>
  </si>
  <si>
    <t>Research/Creative Writing Project</t>
  </si>
  <si>
    <t>ENGL 465</t>
  </si>
  <si>
    <t>ENGL 463</t>
  </si>
  <si>
    <t>LITE 449</t>
  </si>
  <si>
    <t>LITE 450</t>
  </si>
  <si>
    <t xml:space="preserve">Principles of Creative Writing </t>
  </si>
  <si>
    <t>Psycholinguistics</t>
  </si>
  <si>
    <t>Modern Poetry</t>
  </si>
  <si>
    <t xml:space="preserve">Theaters Arts </t>
  </si>
  <si>
    <t>TEACHING SUB: 1ST BIO..2ND AGRICS</t>
  </si>
  <si>
    <t>TEACHING SUB: 1ST CHEM..2ND AGRICS</t>
  </si>
  <si>
    <t>Theory</t>
  </si>
  <si>
    <t>Lab</t>
  </si>
  <si>
    <t>Total</t>
  </si>
  <si>
    <t>CHEM 120</t>
  </si>
  <si>
    <t>CHEM 130</t>
  </si>
  <si>
    <t>AGRI 101</t>
  </si>
  <si>
    <t>AGRI 116A</t>
  </si>
  <si>
    <t>AGRI 108</t>
  </si>
  <si>
    <t>Fundamentals of Chemistry</t>
  </si>
  <si>
    <t>Introduction to Organic Chemistry</t>
  </si>
  <si>
    <t>Crop Production Skills</t>
  </si>
  <si>
    <t xml:space="preserve">Agriculture Ecology </t>
  </si>
  <si>
    <t xml:space="preserve">Introduction to Agriculture </t>
  </si>
  <si>
    <t>Teaching Chemistry</t>
  </si>
  <si>
    <t>Teaching Agriculture</t>
  </si>
  <si>
    <t>CHEM 154</t>
  </si>
  <si>
    <t>AGEN 115</t>
  </si>
  <si>
    <t>AGRI 116B</t>
  </si>
  <si>
    <t>AGRI 102</t>
  </si>
  <si>
    <t>Analytical Chemistry I</t>
  </si>
  <si>
    <t>Organic Fuctional Groups</t>
  </si>
  <si>
    <t xml:space="preserve">Introduction to Farm Machinery and Mechanization </t>
  </si>
  <si>
    <t xml:space="preserve">Animal Production Skills </t>
  </si>
  <si>
    <t>CHEM 231</t>
  </si>
  <si>
    <t>CHEM 205</t>
  </si>
  <si>
    <t>CPSC 213</t>
  </si>
  <si>
    <t>ANSC 211</t>
  </si>
  <si>
    <t>CHEM 235</t>
  </si>
  <si>
    <t>CHEM 271</t>
  </si>
  <si>
    <t>CPSC 279</t>
  </si>
  <si>
    <t xml:space="preserve">Human growth and Develoment </t>
  </si>
  <si>
    <t>Physical Chemistry I</t>
  </si>
  <si>
    <t xml:space="preserve">Atomic Structure &amp; Bonding </t>
  </si>
  <si>
    <t>Introduction to Soils</t>
  </si>
  <si>
    <t>Sociology &amp; Comparative Education</t>
  </si>
  <si>
    <t xml:space="preserve">Christian Beliefs </t>
  </si>
  <si>
    <t>Analytical Chemistry II</t>
  </si>
  <si>
    <t>Chemical Thermodynamics and Phase Equilibria</t>
  </si>
  <si>
    <t xml:space="preserve">Crop Physiology </t>
  </si>
  <si>
    <t>AGRI 335</t>
  </si>
  <si>
    <t>CHEM 341</t>
  </si>
  <si>
    <t>CPSC 314</t>
  </si>
  <si>
    <t xml:space="preserve">Educational Guidance &amp; Couselling </t>
  </si>
  <si>
    <t>Crop Production I</t>
  </si>
  <si>
    <t>Inorganic Chemistry</t>
  </si>
  <si>
    <t>Life &amp; Teaching of Jesus</t>
  </si>
  <si>
    <t xml:space="preserve">Mushroom Production </t>
  </si>
  <si>
    <t>Educational Measurement &amp; Evaluation</t>
  </si>
  <si>
    <t xml:space="preserve">Educational Communication &amp; Technology </t>
  </si>
  <si>
    <t>EDTM 324</t>
  </si>
  <si>
    <t>EDTM 322</t>
  </si>
  <si>
    <t>CHEM 394</t>
  </si>
  <si>
    <t>CPSC 325</t>
  </si>
  <si>
    <t>Crop Production II</t>
  </si>
  <si>
    <t>Systematic Organic Chemistry</t>
  </si>
  <si>
    <t>Heterocyclic Chemistry and Stereochemistry</t>
  </si>
  <si>
    <t xml:space="preserve">Reseach Methods in Educaton </t>
  </si>
  <si>
    <t>Methods Teaching Agriculture</t>
  </si>
  <si>
    <t>Methods Teaching Chemistry</t>
  </si>
  <si>
    <t>TOAL</t>
  </si>
  <si>
    <t>CHEM 402</t>
  </si>
  <si>
    <t>CHEM 405</t>
  </si>
  <si>
    <t>ANSC 411</t>
  </si>
  <si>
    <t>CPSC 412</t>
  </si>
  <si>
    <t>CHEM 425</t>
  </si>
  <si>
    <t>AGEC 413</t>
  </si>
  <si>
    <t>ANSC 442</t>
  </si>
  <si>
    <t>AGEC 345</t>
  </si>
  <si>
    <t xml:space="preserve">Planning &amp; Economics of Education </t>
  </si>
  <si>
    <t xml:space="preserve">Transition Metals Chemistry </t>
  </si>
  <si>
    <t>Industrial Chemistry I</t>
  </si>
  <si>
    <t xml:space="preserve">Poultry Science </t>
  </si>
  <si>
    <t xml:space="preserve">Crop protection </t>
  </si>
  <si>
    <t xml:space="preserve">Entreprenership Education </t>
  </si>
  <si>
    <t>Electrochemistry</t>
  </si>
  <si>
    <t>Management of Agriculture</t>
  </si>
  <si>
    <t xml:space="preserve">Dairy Production </t>
  </si>
  <si>
    <t xml:space="preserve">Agricultural Economics </t>
  </si>
  <si>
    <t>BIOL 152</t>
  </si>
  <si>
    <t>BIOL 151</t>
  </si>
  <si>
    <t xml:space="preserve">AGRI 108 </t>
  </si>
  <si>
    <t>Und Biol I/General Genetics</t>
  </si>
  <si>
    <t xml:space="preserve">Fund Biol II/General Botany </t>
  </si>
  <si>
    <t>Teaching Biology</t>
  </si>
  <si>
    <t>BIOL 153</t>
  </si>
  <si>
    <t>BIOL 176</t>
  </si>
  <si>
    <t>Fund Biol III/ Invert &amp; Vertebrates Zoology</t>
  </si>
  <si>
    <t xml:space="preserve">Introduction to Microbiology </t>
  </si>
  <si>
    <t>BIOL 296</t>
  </si>
  <si>
    <t>BIOL 292</t>
  </si>
  <si>
    <t>BIOL 286</t>
  </si>
  <si>
    <t>BIOL 285</t>
  </si>
  <si>
    <t xml:space="preserve">Introduction to Animal Science </t>
  </si>
  <si>
    <t xml:space="preserve">History &amp; Philosophy of Biology </t>
  </si>
  <si>
    <t>Fundamentals of Cell and  Molecular Bio</t>
  </si>
  <si>
    <t>General Ecology I</t>
  </si>
  <si>
    <t xml:space="preserve">Biostatistics </t>
  </si>
  <si>
    <t>BOTN 374</t>
  </si>
  <si>
    <t xml:space="preserve">Hman Growth &amp; Developmen </t>
  </si>
  <si>
    <t xml:space="preserve">Systematic Botany </t>
  </si>
  <si>
    <t>Crop Producton I</t>
  </si>
  <si>
    <t>EDTM 321</t>
  </si>
  <si>
    <t>ZOOL 360</t>
  </si>
  <si>
    <t>BOTN 432</t>
  </si>
  <si>
    <t>Methods Teaching Biology</t>
  </si>
  <si>
    <t>Parasitology &amp; Immunology</t>
  </si>
  <si>
    <t xml:space="preserve">Plant Physiology </t>
  </si>
  <si>
    <t xml:space="preserve">Crop Production II </t>
  </si>
  <si>
    <t>ZOOL 448</t>
  </si>
  <si>
    <t>ZOOL 464</t>
  </si>
  <si>
    <t xml:space="preserve">System Physiology </t>
  </si>
  <si>
    <t xml:space="preserve">Development Biology </t>
  </si>
  <si>
    <t>TEACHING SUB: 1ST HOME SCIE..2ND AGRICS</t>
  </si>
  <si>
    <t>HOSC 116</t>
  </si>
  <si>
    <t>HOSC 120</t>
  </si>
  <si>
    <t>Creative Needle Work</t>
  </si>
  <si>
    <t>Introduction to Food Preparation</t>
  </si>
  <si>
    <t xml:space="preserve">Teaching Home Science </t>
  </si>
  <si>
    <t>HOSC 150</t>
  </si>
  <si>
    <t>HOSC 170</t>
  </si>
  <si>
    <t>Clothing and Construction I</t>
  </si>
  <si>
    <t>Resource Management in the Farmily</t>
  </si>
  <si>
    <t>HOSC 216</t>
  </si>
  <si>
    <t>HOSC 230</t>
  </si>
  <si>
    <t>Human  Growth and Development</t>
  </si>
  <si>
    <t>Clothing and Construction II</t>
  </si>
  <si>
    <t xml:space="preserve">Nutrition and Health </t>
  </si>
  <si>
    <t>HOSC 235</t>
  </si>
  <si>
    <t>HOSC 250</t>
  </si>
  <si>
    <t>Pattern Drafting</t>
  </si>
  <si>
    <t xml:space="preserve">Child Development and Growth </t>
  </si>
  <si>
    <t>HOSC 303</t>
  </si>
  <si>
    <t>HOSC 318</t>
  </si>
  <si>
    <t>EDTM 323</t>
  </si>
  <si>
    <t>HOSC 319</t>
  </si>
  <si>
    <t>HOSC 330</t>
  </si>
  <si>
    <t xml:space="preserve">Education Measurement &amp; Evaluation </t>
  </si>
  <si>
    <t xml:space="preserve">Family Living </t>
  </si>
  <si>
    <t xml:space="preserve">Personal Hygene and Grooming </t>
  </si>
  <si>
    <t xml:space="preserve">Methods Teaching Home Science </t>
  </si>
  <si>
    <t xml:space="preserve">Design for Living </t>
  </si>
  <si>
    <t xml:space="preserve">Meal Preparation and Management </t>
  </si>
  <si>
    <t>HOSC 453</t>
  </si>
  <si>
    <t>HOSC 400</t>
  </si>
  <si>
    <t>HOSC 415</t>
  </si>
  <si>
    <t>HOSC 455</t>
  </si>
  <si>
    <t>Quality Food Management and Production</t>
  </si>
  <si>
    <t>Tailoring</t>
  </si>
  <si>
    <t>Food demonstration Skills</t>
  </si>
  <si>
    <t>Public Health and Community Nuitrition</t>
  </si>
  <si>
    <t>TEACHING SUB: 1ST CHEM..2ND MATH</t>
  </si>
  <si>
    <t>MATH 124</t>
  </si>
  <si>
    <t>STAT 150</t>
  </si>
  <si>
    <t>Basic Maathematics and Analtical Geometry</t>
  </si>
  <si>
    <t>Inreoduction to Probability and Statistics</t>
  </si>
  <si>
    <t>Teaching Mathematics</t>
  </si>
  <si>
    <t>CHEM 171</t>
  </si>
  <si>
    <t>MATH 150</t>
  </si>
  <si>
    <t>MATH 127</t>
  </si>
  <si>
    <t>MATH 227</t>
  </si>
  <si>
    <t>MATH 240</t>
  </si>
  <si>
    <t>MATH 248</t>
  </si>
  <si>
    <t>MATH 274</t>
  </si>
  <si>
    <t>Linear Algebra I</t>
  </si>
  <si>
    <t xml:space="preserve">Differential Calculus </t>
  </si>
  <si>
    <t xml:space="preserve">History of Education </t>
  </si>
  <si>
    <t>Integral Calculus</t>
  </si>
  <si>
    <t xml:space="preserve">Real Analysis I </t>
  </si>
  <si>
    <t>Ordinary Differential Equation I</t>
  </si>
  <si>
    <t>Complex Analysis I</t>
  </si>
  <si>
    <t xml:space="preserve">MATH </t>
  </si>
  <si>
    <t>EDTM 325</t>
  </si>
  <si>
    <t>MATH</t>
  </si>
  <si>
    <t>Pure or Applied or Stat</t>
  </si>
  <si>
    <t xml:space="preserve">Educational Guidance &amp; Couseling </t>
  </si>
  <si>
    <t xml:space="preserve">Methods Teaching Mathematics </t>
  </si>
  <si>
    <t xml:space="preserve">Chemical Thermodynamics and Phase Equilibria </t>
  </si>
  <si>
    <t>Electives (optional)</t>
  </si>
  <si>
    <t>CHEM 384</t>
  </si>
  <si>
    <t>CHEM 419</t>
  </si>
  <si>
    <t>Coordination Chemistry</t>
  </si>
  <si>
    <t xml:space="preserve">Enviromental Chemistry </t>
  </si>
  <si>
    <t>CHEM 345</t>
  </si>
  <si>
    <t>Christian Belief</t>
  </si>
  <si>
    <t>Synthetic Organic Chemistry</t>
  </si>
  <si>
    <t xml:space="preserve">TEACHING SUB: 1ST MATH..2ND PHYSICS </t>
  </si>
  <si>
    <t>PHYS 160</t>
  </si>
  <si>
    <t>PHYS 165</t>
  </si>
  <si>
    <t xml:space="preserve">Mechanics </t>
  </si>
  <si>
    <t xml:space="preserve">Heat and Thermodynamics </t>
  </si>
  <si>
    <t>Teaching Physics</t>
  </si>
  <si>
    <t>PHYS 180</t>
  </si>
  <si>
    <t>PHYS 170</t>
  </si>
  <si>
    <t>Geometric Optics</t>
  </si>
  <si>
    <t>Introduction to Quantum Physics</t>
  </si>
  <si>
    <t>PHYS 215</t>
  </si>
  <si>
    <t>PHYS 231</t>
  </si>
  <si>
    <t>Waves and Oscillation</t>
  </si>
  <si>
    <t>Electricity and Magnetism I</t>
  </si>
  <si>
    <t>PHYS 232</t>
  </si>
  <si>
    <t xml:space="preserve">Electricity and Magnetism II </t>
  </si>
  <si>
    <t>PHYS 300</t>
  </si>
  <si>
    <t>Properties of Matter</t>
  </si>
  <si>
    <t>EDTM 326</t>
  </si>
  <si>
    <t xml:space="preserve">Methods Teaching Physics </t>
  </si>
  <si>
    <t>PHYS 345</t>
  </si>
  <si>
    <t>PHYS 255</t>
  </si>
  <si>
    <t>Electronics</t>
  </si>
  <si>
    <t>Quantum Mechanics</t>
  </si>
  <si>
    <t>PHYS 410</t>
  </si>
  <si>
    <t>PHYS 415</t>
  </si>
  <si>
    <t>Nuclear Physics</t>
  </si>
  <si>
    <t>Solid State</t>
  </si>
  <si>
    <t>PHYS 315</t>
  </si>
  <si>
    <t>PHYS 421</t>
  </si>
  <si>
    <t>Atomic Physiscs</t>
  </si>
  <si>
    <t>Electromagnetic Theory</t>
  </si>
  <si>
    <t>PHYS 431</t>
  </si>
  <si>
    <t>Enviromental amd Renewable aenergy physics I</t>
  </si>
  <si>
    <t xml:space="preserve">Physical Optics </t>
  </si>
  <si>
    <t>TEACHING SUB: 1ST COMP..2ND MATH</t>
  </si>
  <si>
    <t>COSC 161</t>
  </si>
  <si>
    <t>INSY 118</t>
  </si>
  <si>
    <t>Fundamentals of Programming</t>
  </si>
  <si>
    <t xml:space="preserve">Introduction to business Information Processing </t>
  </si>
  <si>
    <t xml:space="preserve">Teaching Computer </t>
  </si>
  <si>
    <t>COSC 171</t>
  </si>
  <si>
    <t>COSC 162</t>
  </si>
  <si>
    <t>Data Structures and Algorithms</t>
  </si>
  <si>
    <t xml:space="preserve">Visual Basic Net Programming </t>
  </si>
  <si>
    <t>INSY 210</t>
  </si>
  <si>
    <t>INSY 314</t>
  </si>
  <si>
    <t>Database Management System</t>
  </si>
  <si>
    <t>Web Design and Technologies</t>
  </si>
  <si>
    <t>COSC 225</t>
  </si>
  <si>
    <t>Computer Organization</t>
  </si>
  <si>
    <t xml:space="preserve">Microcomputer Organization </t>
  </si>
  <si>
    <t>COSC 237</t>
  </si>
  <si>
    <t>COSC 261</t>
  </si>
  <si>
    <t>Network and Telecommunication</t>
  </si>
  <si>
    <t xml:space="preserve">Operating System </t>
  </si>
  <si>
    <t>EDTM 338</t>
  </si>
  <si>
    <t xml:space="preserve">Methods Teaching Computee Science </t>
  </si>
  <si>
    <t>INSY 305</t>
  </si>
  <si>
    <t>Management Informaton System</t>
  </si>
  <si>
    <t>COSC 343</t>
  </si>
  <si>
    <t xml:space="preserve">Foundation of Human Computer Interaction </t>
  </si>
  <si>
    <t>COSC 498</t>
  </si>
  <si>
    <t>Senior Project</t>
  </si>
  <si>
    <t>INSY 497</t>
  </si>
  <si>
    <t xml:space="preserve">IT Project Management </t>
  </si>
  <si>
    <t>Educational Guidance &amp; Couselling</t>
  </si>
  <si>
    <t xml:space="preserve">TEACHING SUB: 1ST MATH..2ND BIOLOGY </t>
  </si>
  <si>
    <t>ZOOL 322</t>
  </si>
  <si>
    <t>Invertebrate Zoology</t>
  </si>
  <si>
    <t>.</t>
  </si>
  <si>
    <t>TEACHING SUB: 1ST MATH..2ND GEOG</t>
  </si>
  <si>
    <t>3ED</t>
  </si>
  <si>
    <t>RELT</t>
  </si>
  <si>
    <t>TEACHING SUB: 1ST CHEM..2ND BIOLOGY</t>
  </si>
  <si>
    <t>EDPC 374</t>
  </si>
  <si>
    <t>Human Growth Development</t>
  </si>
  <si>
    <t>Plant Physiology</t>
  </si>
  <si>
    <t xml:space="preserve">Educational Guidance &amp; Counselling </t>
  </si>
  <si>
    <t>TEACHING SUB: 1ST CHEM..2ND PHYSICS</t>
  </si>
  <si>
    <t>Human Growth &amp; Development</t>
  </si>
  <si>
    <t xml:space="preserve">Methods of Teaching Physics </t>
  </si>
  <si>
    <t>PHYS 335</t>
  </si>
  <si>
    <t>TEACHING SUB: 1ST COMPUTER..2ND PHYSICS</t>
  </si>
  <si>
    <t xml:space="preserve">Methods Teaching Computer Science </t>
  </si>
  <si>
    <t xml:space="preserve">TEACHING SUB: 1ST GEOGRAPHY..2ND BIOLOGY </t>
  </si>
  <si>
    <t xml:space="preserve">TEACHING SUB: 1ST HOME SCIENCE..2ND BIOLOGY </t>
  </si>
  <si>
    <t>ACCT 111</t>
  </si>
  <si>
    <t xml:space="preserve">Fundamentals of Accounting </t>
  </si>
  <si>
    <t>Teaching Business</t>
  </si>
  <si>
    <t>MGMT 141</t>
  </si>
  <si>
    <t>Business Law I</t>
  </si>
  <si>
    <t>Introduction to Business Information Process</t>
  </si>
  <si>
    <t>MGMT 130</t>
  </si>
  <si>
    <t xml:space="preserve">Findamentals of Management </t>
  </si>
  <si>
    <t>MGMT 220</t>
  </si>
  <si>
    <t>Business Statistic I</t>
  </si>
  <si>
    <t>ACCT 112</t>
  </si>
  <si>
    <t>Fundamentals of Accounting II</t>
  </si>
  <si>
    <t>MGMT 335</t>
  </si>
  <si>
    <t>Human Behavior in Organization</t>
  </si>
  <si>
    <t>ECON 210</t>
  </si>
  <si>
    <t>Principles of Microeconomics</t>
  </si>
  <si>
    <t>EDTM 329</t>
  </si>
  <si>
    <t xml:space="preserve">Methods of Teaching Business </t>
  </si>
  <si>
    <t>MGMT 240</t>
  </si>
  <si>
    <t xml:space="preserve">Customer Care and Relationship Management </t>
  </si>
  <si>
    <t>Investment Analysis and Portfolio Management</t>
  </si>
  <si>
    <t>MKTG 484</t>
  </si>
  <si>
    <t xml:space="preserve">Distribution, Logistics and Pricing Management </t>
  </si>
  <si>
    <t>FNCE 467</t>
  </si>
  <si>
    <t>FNCE 287</t>
  </si>
  <si>
    <t>MGMT 330</t>
  </si>
  <si>
    <t>MKTG 366</t>
  </si>
  <si>
    <t>Human Resource Management</t>
  </si>
  <si>
    <t xml:space="preserve">Sales Managemet </t>
  </si>
  <si>
    <t>TEACHING SUB: 1ST GEOGRAPHY..2ND BUSINESS</t>
  </si>
  <si>
    <t xml:space="preserve">Educatinal Guidance &amp; Couselling </t>
  </si>
  <si>
    <t xml:space="preserve">TEACHING SUB: 1ST BIOLOGY..2ND BUSINESS </t>
  </si>
  <si>
    <t>TEACHING SUB: 1ST BUSINESS..2ND CHEMISTRY</t>
  </si>
  <si>
    <t xml:space="preserve">Introduction to Business Information Processing </t>
  </si>
  <si>
    <t xml:space="preserve">Principles of Finance </t>
  </si>
  <si>
    <t>TEACHING SUB: 1ST GEOGRAPHY..2ND AGRICULTURE</t>
  </si>
  <si>
    <t>Methods Teaching Georaphy</t>
  </si>
  <si>
    <t>History od Education, Philosophy of Education &amp; Sociology and Comparative Education</t>
  </si>
  <si>
    <t>Educational Psychology</t>
  </si>
  <si>
    <t>Health Education &amp; Life Skills, Educational Psychology</t>
  </si>
  <si>
    <t>Health aeducation &amp; Life Skills, Educational Psychology</t>
  </si>
  <si>
    <t>Health Education &amp; Life Skills, Human Growth &amp; Development</t>
  </si>
  <si>
    <t>Curriculum Development, Principles and Methods of Teaching, Educational Psychology, Human Growth &amp; Development</t>
  </si>
  <si>
    <t>Cirriculum Development, Educational Measurement and Evaluation, Writing Skills</t>
  </si>
  <si>
    <t xml:space="preserve">Principles and Methods of Teaching </t>
  </si>
  <si>
    <t>Educational Communication and Technology, Educational Measurement and Evaluation, Educational Psychology, Human Growth and Development, relevant between 311-338</t>
  </si>
  <si>
    <t>Curriculum Development, Educational Communication of Teaching, Educational Measurement and Evaluation,Educational Psychology, Human Growth and Developmen</t>
  </si>
  <si>
    <t>EDTM 314</t>
  </si>
  <si>
    <t>EDTM 315</t>
  </si>
  <si>
    <t>SUMMARY</t>
  </si>
  <si>
    <t xml:space="preserve">ENTRY </t>
  </si>
  <si>
    <t>KCSE</t>
  </si>
  <si>
    <t>C+ &gt;</t>
  </si>
  <si>
    <t xml:space="preserve">teaching subject </t>
  </si>
  <si>
    <t>GER</t>
  </si>
  <si>
    <t>Teaching History</t>
  </si>
  <si>
    <t xml:space="preserve">Total </t>
  </si>
  <si>
    <t xml:space="preserve">Educational Gidance and Couselling </t>
  </si>
  <si>
    <t>TeachingKiswahili</t>
  </si>
  <si>
    <t>Teaching CRE</t>
  </si>
  <si>
    <t>Teaching HISTORY</t>
  </si>
  <si>
    <t>Teaching GEOGRAPHY</t>
  </si>
  <si>
    <t>Teaching KISWAHILI</t>
  </si>
  <si>
    <t>Teaching English Language</t>
  </si>
  <si>
    <t>Teaching CHEMISTRY</t>
  </si>
  <si>
    <t>Teaching HOME Science</t>
  </si>
  <si>
    <t>Teaching MATHS</t>
  </si>
  <si>
    <t>Teaching PHYSICS</t>
  </si>
  <si>
    <t xml:space="preserve">Teaching COMPUTER </t>
  </si>
  <si>
    <t xml:space="preserve">Teaching MATHS </t>
  </si>
  <si>
    <t>Teaching BIOLOGY</t>
  </si>
  <si>
    <t>INTERSEMESTER</t>
  </si>
  <si>
    <t>Teaching COMPUTER</t>
  </si>
  <si>
    <t xml:space="preserve">Teaching HomeScience </t>
  </si>
  <si>
    <t>Teaching chemistry</t>
  </si>
  <si>
    <t xml:space="preserve">Teaching Homescience </t>
  </si>
  <si>
    <t>Teaching BUSINESS</t>
  </si>
  <si>
    <t xml:space="preserve">RELH 114 </t>
  </si>
  <si>
    <t>RELT 335</t>
  </si>
  <si>
    <t>INSY 236</t>
  </si>
  <si>
    <t>MKTG 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</si>
</sst>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11"/>
      <color rgb="FF92D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/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zoomScaleNormal="100" workbookViewId="0">
      <selection activeCell="D89" sqref="D89"/>
    </sheetView>
  </sheetViews>
  <sheetFormatPr defaultRowHeight="14.4" x14ac:dyDescent="0.3"/>
  <cols>
    <col min="1" max="1" width="21.44140625" customWidth="1"/>
    <col min="2" max="2" width="12.109375" bestFit="1" customWidth="1"/>
    <col min="3" max="3" width="51.5546875" bestFit="1" customWidth="1"/>
    <col min="4" max="4" width="20.33203125" bestFit="1" customWidth="1"/>
    <col min="5" max="5" width="10.33203125" style="1" bestFit="1" customWidth="1"/>
    <col min="6" max="6" width="14.88671875" style="2" bestFit="1" customWidth="1"/>
    <col min="7" max="7" width="30.44140625" style="3" bestFit="1" customWidth="1"/>
    <col min="8" max="8" width="39.109375" bestFit="1" customWidth="1"/>
    <col min="9" max="9" width="5.6640625" bestFit="1" customWidth="1"/>
    <col min="10" max="10" width="158.88671875" style="2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1" t="s">
        <v>7</v>
      </c>
      <c r="I1" s="11" t="s">
        <v>8</v>
      </c>
      <c r="J1" s="13" t="s">
        <v>9</v>
      </c>
    </row>
    <row r="2" spans="1:10" x14ac:dyDescent="0.3">
      <c r="A2" s="11" t="s">
        <v>15</v>
      </c>
      <c r="B2" s="11" t="s">
        <v>10</v>
      </c>
      <c r="C2" s="11" t="s">
        <v>11</v>
      </c>
      <c r="D2" s="11" t="s">
        <v>12</v>
      </c>
      <c r="E2" s="12" t="s">
        <v>13</v>
      </c>
      <c r="F2" s="13" t="s">
        <v>14</v>
      </c>
      <c r="G2" s="14"/>
      <c r="H2" s="11" t="s">
        <v>179</v>
      </c>
      <c r="I2" s="11"/>
      <c r="J2" s="13"/>
    </row>
    <row r="3" spans="1:10" x14ac:dyDescent="0.3">
      <c r="A3" s="15"/>
      <c r="B3" s="15" t="s">
        <v>16</v>
      </c>
      <c r="C3" s="15" t="s">
        <v>87</v>
      </c>
      <c r="D3" s="15">
        <v>3</v>
      </c>
      <c r="E3" s="24"/>
      <c r="F3" s="27"/>
      <c r="G3" s="21" t="s">
        <v>92</v>
      </c>
      <c r="H3" s="15" t="s">
        <v>179</v>
      </c>
      <c r="I3" s="15"/>
      <c r="J3" s="27"/>
    </row>
    <row r="4" spans="1:10" x14ac:dyDescent="0.3">
      <c r="A4" s="15"/>
      <c r="B4" s="15" t="s">
        <v>17</v>
      </c>
      <c r="C4" s="15" t="s">
        <v>88</v>
      </c>
      <c r="D4" s="15">
        <v>3</v>
      </c>
      <c r="E4" s="24"/>
      <c r="F4" s="27"/>
      <c r="G4" s="21" t="s">
        <v>102</v>
      </c>
      <c r="H4" s="15" t="s">
        <v>179</v>
      </c>
      <c r="I4" s="15"/>
      <c r="J4" s="27"/>
    </row>
    <row r="5" spans="1:10" x14ac:dyDescent="0.3">
      <c r="A5" s="15"/>
      <c r="B5" s="15" t="s">
        <v>18</v>
      </c>
      <c r="C5" s="15" t="s">
        <v>89</v>
      </c>
      <c r="D5" s="15">
        <v>3</v>
      </c>
      <c r="E5" s="24"/>
      <c r="F5" s="27"/>
      <c r="G5" s="21" t="s">
        <v>93</v>
      </c>
      <c r="H5" s="15" t="s">
        <v>179</v>
      </c>
      <c r="I5" s="15"/>
      <c r="J5" s="27"/>
    </row>
    <row r="6" spans="1:10" x14ac:dyDescent="0.3">
      <c r="A6" s="15"/>
      <c r="B6" s="15" t="s">
        <v>19</v>
      </c>
      <c r="C6" s="15" t="s">
        <v>107</v>
      </c>
      <c r="D6" s="15">
        <v>3</v>
      </c>
      <c r="E6" s="24"/>
      <c r="F6" s="27"/>
      <c r="G6" s="21" t="s">
        <v>93</v>
      </c>
      <c r="H6" s="15" t="s">
        <v>179</v>
      </c>
      <c r="I6" s="15"/>
      <c r="J6" s="27"/>
    </row>
    <row r="7" spans="1:10" x14ac:dyDescent="0.3">
      <c r="A7" s="15"/>
      <c r="B7" s="15" t="s">
        <v>20</v>
      </c>
      <c r="C7" s="15" t="s">
        <v>90</v>
      </c>
      <c r="D7" s="15">
        <v>3</v>
      </c>
      <c r="E7" s="24"/>
      <c r="F7" s="27"/>
      <c r="G7" s="21" t="s">
        <v>94</v>
      </c>
      <c r="H7" s="15" t="s">
        <v>179</v>
      </c>
      <c r="I7" s="15"/>
      <c r="J7" s="27"/>
    </row>
    <row r="8" spans="1:10" x14ac:dyDescent="0.3">
      <c r="A8" s="15"/>
      <c r="B8" s="15" t="s">
        <v>21</v>
      </c>
      <c r="C8" s="15" t="s">
        <v>91</v>
      </c>
      <c r="D8" s="15">
        <v>3</v>
      </c>
      <c r="E8" s="24"/>
      <c r="F8" s="27"/>
      <c r="G8" s="21" t="s">
        <v>94</v>
      </c>
      <c r="H8" s="15" t="s">
        <v>179</v>
      </c>
      <c r="I8" s="15"/>
      <c r="J8" s="27"/>
    </row>
    <row r="9" spans="1:10" s="17" customFormat="1" x14ac:dyDescent="0.3">
      <c r="A9" s="56" t="s">
        <v>73</v>
      </c>
      <c r="B9" s="56"/>
      <c r="C9" s="56"/>
      <c r="D9" s="16">
        <f>SUM(D3:D8)</f>
        <v>18</v>
      </c>
      <c r="E9" s="25"/>
      <c r="F9" s="28"/>
      <c r="G9" s="22"/>
      <c r="H9" s="16"/>
      <c r="I9" s="16"/>
      <c r="J9" s="28"/>
    </row>
    <row r="10" spans="1:10" x14ac:dyDescent="0.3">
      <c r="A10" s="15"/>
      <c r="B10" s="15"/>
      <c r="C10" s="15"/>
      <c r="D10" s="15"/>
      <c r="E10" s="24"/>
      <c r="F10" s="27" t="s">
        <v>81</v>
      </c>
      <c r="G10" s="21"/>
      <c r="H10" s="15"/>
      <c r="I10" s="15"/>
      <c r="J10" s="27"/>
    </row>
    <row r="11" spans="1:10" x14ac:dyDescent="0.3">
      <c r="A11" s="15"/>
      <c r="B11" s="15" t="s">
        <v>22</v>
      </c>
      <c r="C11" s="15" t="s">
        <v>95</v>
      </c>
      <c r="D11" s="15">
        <v>2</v>
      </c>
      <c r="E11" s="24"/>
      <c r="F11" s="27"/>
      <c r="G11" s="21" t="s">
        <v>92</v>
      </c>
      <c r="H11" s="15" t="s">
        <v>179</v>
      </c>
      <c r="I11" s="15"/>
      <c r="J11" s="27"/>
    </row>
    <row r="12" spans="1:10" x14ac:dyDescent="0.3">
      <c r="A12" s="15"/>
      <c r="B12" s="15" t="s">
        <v>23</v>
      </c>
      <c r="C12" s="15" t="s">
        <v>96</v>
      </c>
      <c r="D12" s="15">
        <v>2</v>
      </c>
      <c r="E12" s="24"/>
      <c r="F12" s="27"/>
      <c r="G12" s="21" t="s">
        <v>92</v>
      </c>
      <c r="H12" s="15" t="s">
        <v>179</v>
      </c>
      <c r="I12" s="15"/>
      <c r="J12" s="27" t="s">
        <v>592</v>
      </c>
    </row>
    <row r="13" spans="1:10" x14ac:dyDescent="0.3">
      <c r="A13" s="15"/>
      <c r="B13" s="15" t="s">
        <v>24</v>
      </c>
      <c r="C13" s="15" t="s">
        <v>142</v>
      </c>
      <c r="D13" s="15">
        <v>1</v>
      </c>
      <c r="E13" s="24"/>
      <c r="F13" s="27"/>
      <c r="G13" s="21" t="s">
        <v>102</v>
      </c>
      <c r="H13" s="15" t="s">
        <v>179</v>
      </c>
      <c r="I13" s="15"/>
      <c r="J13" s="27"/>
    </row>
    <row r="14" spans="1:10" x14ac:dyDescent="0.3">
      <c r="A14" s="15"/>
      <c r="B14" s="15" t="s">
        <v>25</v>
      </c>
      <c r="C14" s="15" t="s">
        <v>98</v>
      </c>
      <c r="D14" s="15">
        <v>2</v>
      </c>
      <c r="E14" s="24"/>
      <c r="F14" s="27"/>
      <c r="G14" s="21" t="s">
        <v>102</v>
      </c>
      <c r="H14" s="15" t="s">
        <v>179</v>
      </c>
      <c r="I14" s="15"/>
      <c r="J14" s="27"/>
    </row>
    <row r="15" spans="1:10" x14ac:dyDescent="0.3">
      <c r="A15" s="15"/>
      <c r="B15" s="15" t="s">
        <v>26</v>
      </c>
      <c r="C15" s="15" t="s">
        <v>106</v>
      </c>
      <c r="D15" s="15">
        <v>3</v>
      </c>
      <c r="E15" s="24"/>
      <c r="F15" s="27"/>
      <c r="G15" s="21" t="s">
        <v>93</v>
      </c>
      <c r="H15" s="15" t="s">
        <v>179</v>
      </c>
      <c r="I15" s="15"/>
      <c r="J15" s="27"/>
    </row>
    <row r="16" spans="1:10" x14ac:dyDescent="0.3">
      <c r="A16" s="15"/>
      <c r="B16" s="15" t="s">
        <v>27</v>
      </c>
      <c r="C16" s="15" t="s">
        <v>99</v>
      </c>
      <c r="D16" s="15">
        <v>3</v>
      </c>
      <c r="E16" s="24"/>
      <c r="F16" s="27"/>
      <c r="G16" s="21" t="s">
        <v>93</v>
      </c>
      <c r="H16" s="15" t="s">
        <v>179</v>
      </c>
      <c r="I16" s="15"/>
      <c r="J16" s="27"/>
    </row>
    <row r="17" spans="1:10" x14ac:dyDescent="0.3">
      <c r="A17" s="15"/>
      <c r="B17" s="15" t="s">
        <v>28</v>
      </c>
      <c r="C17" s="15" t="s">
        <v>100</v>
      </c>
      <c r="D17" s="15">
        <v>3</v>
      </c>
      <c r="E17" s="24"/>
      <c r="F17" s="27"/>
      <c r="G17" s="21" t="s">
        <v>94</v>
      </c>
      <c r="H17" s="15" t="s">
        <v>179</v>
      </c>
      <c r="I17" s="15"/>
      <c r="J17" s="27"/>
    </row>
    <row r="18" spans="1:10" x14ac:dyDescent="0.3">
      <c r="A18" s="15"/>
      <c r="B18" s="15" t="s">
        <v>29</v>
      </c>
      <c r="C18" s="15" t="s">
        <v>101</v>
      </c>
      <c r="D18" s="15">
        <v>2</v>
      </c>
      <c r="E18" s="24"/>
      <c r="F18" s="27"/>
      <c r="G18" s="21" t="s">
        <v>92</v>
      </c>
      <c r="H18" s="15" t="s">
        <v>179</v>
      </c>
      <c r="I18" s="15"/>
      <c r="J18" s="27"/>
    </row>
    <row r="19" spans="1:10" s="17" customFormat="1" x14ac:dyDescent="0.3">
      <c r="A19" s="56" t="s">
        <v>73</v>
      </c>
      <c r="B19" s="56"/>
      <c r="C19" s="56"/>
      <c r="D19" s="16">
        <f>SUM(D11:D18)</f>
        <v>18</v>
      </c>
      <c r="E19" s="25"/>
      <c r="F19" s="28"/>
      <c r="G19" s="22"/>
      <c r="H19" s="16"/>
      <c r="I19" s="16"/>
      <c r="J19" s="28"/>
    </row>
    <row r="20" spans="1:10" x14ac:dyDescent="0.3">
      <c r="A20" s="15"/>
      <c r="B20" s="15"/>
      <c r="C20" s="15"/>
      <c r="D20" s="15"/>
      <c r="E20" s="24" t="s">
        <v>83</v>
      </c>
      <c r="F20" s="27" t="s">
        <v>14</v>
      </c>
      <c r="G20" s="21"/>
      <c r="H20" s="15"/>
      <c r="I20" s="15"/>
      <c r="J20" s="27"/>
    </row>
    <row r="21" spans="1:10" x14ac:dyDescent="0.3">
      <c r="A21" s="15"/>
      <c r="B21" s="15" t="s">
        <v>30</v>
      </c>
      <c r="C21" s="15" t="s">
        <v>103</v>
      </c>
      <c r="D21" s="15">
        <v>3</v>
      </c>
      <c r="E21" s="24"/>
      <c r="F21" s="27"/>
      <c r="G21" s="21" t="s">
        <v>92</v>
      </c>
      <c r="H21" s="15" t="s">
        <v>179</v>
      </c>
      <c r="I21" s="15"/>
      <c r="J21" s="27" t="s">
        <v>593</v>
      </c>
    </row>
    <row r="22" spans="1:10" x14ac:dyDescent="0.3">
      <c r="A22" s="15"/>
      <c r="B22" s="15" t="s">
        <v>31</v>
      </c>
      <c r="C22" s="15" t="s">
        <v>104</v>
      </c>
      <c r="D22" s="15">
        <v>3</v>
      </c>
      <c r="E22" s="24"/>
      <c r="F22" s="27"/>
      <c r="G22" s="21" t="s">
        <v>92</v>
      </c>
      <c r="H22" s="15" t="s">
        <v>179</v>
      </c>
      <c r="I22" s="15"/>
      <c r="J22" s="27"/>
    </row>
    <row r="23" spans="1:10" x14ac:dyDescent="0.3">
      <c r="A23" s="15"/>
      <c r="B23" s="15" t="s">
        <v>58</v>
      </c>
      <c r="C23" s="15" t="s">
        <v>76</v>
      </c>
      <c r="D23" s="15">
        <v>2</v>
      </c>
      <c r="E23" s="24"/>
      <c r="F23" s="27"/>
      <c r="G23" s="21" t="s">
        <v>92</v>
      </c>
      <c r="H23" s="15" t="s">
        <v>179</v>
      </c>
      <c r="I23" s="15"/>
      <c r="J23" s="27"/>
    </row>
    <row r="24" spans="1:10" x14ac:dyDescent="0.3">
      <c r="A24" s="15"/>
      <c r="B24" s="15" t="s">
        <v>82</v>
      </c>
      <c r="C24" s="15" t="s">
        <v>107</v>
      </c>
      <c r="D24" s="15">
        <v>3</v>
      </c>
      <c r="E24" s="24"/>
      <c r="F24" s="27"/>
      <c r="G24" s="21" t="s">
        <v>93</v>
      </c>
      <c r="H24" s="15" t="s">
        <v>179</v>
      </c>
      <c r="I24" s="15"/>
      <c r="J24" s="27"/>
    </row>
    <row r="25" spans="1:10" x14ac:dyDescent="0.3">
      <c r="A25" s="15"/>
      <c r="B25" s="15" t="s">
        <v>32</v>
      </c>
      <c r="C25" s="15" t="s">
        <v>105</v>
      </c>
      <c r="D25" s="15">
        <v>3</v>
      </c>
      <c r="E25" s="24"/>
      <c r="F25" s="27"/>
      <c r="G25" s="21" t="s">
        <v>93</v>
      </c>
      <c r="H25" s="15" t="s">
        <v>179</v>
      </c>
      <c r="I25" s="15"/>
      <c r="J25" s="27"/>
    </row>
    <row r="26" spans="1:10" x14ac:dyDescent="0.3">
      <c r="A26" s="15"/>
      <c r="B26" s="15" t="s">
        <v>33</v>
      </c>
      <c r="C26" s="15" t="s">
        <v>108</v>
      </c>
      <c r="D26" s="15">
        <v>3</v>
      </c>
      <c r="E26" s="24"/>
      <c r="F26" s="27"/>
      <c r="G26" s="21" t="s">
        <v>94</v>
      </c>
      <c r="H26" s="15" t="s">
        <v>179</v>
      </c>
      <c r="I26" s="15"/>
      <c r="J26" s="27"/>
    </row>
    <row r="27" spans="1:10" x14ac:dyDescent="0.3">
      <c r="A27" s="15"/>
      <c r="B27" s="15" t="s">
        <v>34</v>
      </c>
      <c r="C27" s="15" t="s">
        <v>109</v>
      </c>
      <c r="D27" s="15">
        <v>3</v>
      </c>
      <c r="E27" s="24"/>
      <c r="F27" s="27"/>
      <c r="G27" s="21" t="s">
        <v>94</v>
      </c>
      <c r="H27" s="15" t="s">
        <v>179</v>
      </c>
      <c r="I27" s="15"/>
      <c r="J27" s="27"/>
    </row>
    <row r="28" spans="1:10" s="17" customFormat="1" x14ac:dyDescent="0.3">
      <c r="A28" s="56" t="s">
        <v>73</v>
      </c>
      <c r="B28" s="56"/>
      <c r="C28" s="56"/>
      <c r="D28" s="16">
        <f>SUM(D21:D27)</f>
        <v>20</v>
      </c>
      <c r="E28" s="25"/>
      <c r="F28" s="28"/>
      <c r="G28" s="22"/>
      <c r="H28" s="16"/>
      <c r="I28" s="16"/>
      <c r="J28" s="28"/>
    </row>
    <row r="29" spans="1:10" x14ac:dyDescent="0.3">
      <c r="A29" s="15"/>
      <c r="B29" s="15"/>
      <c r="C29" s="15"/>
      <c r="D29" s="15"/>
      <c r="E29" s="24"/>
      <c r="F29" s="27" t="s">
        <v>81</v>
      </c>
      <c r="G29" s="21"/>
      <c r="H29" s="15"/>
      <c r="I29" s="15"/>
      <c r="J29" s="27"/>
    </row>
    <row r="30" spans="1:10" x14ac:dyDescent="0.3">
      <c r="A30" s="15"/>
      <c r="B30" s="15" t="s">
        <v>35</v>
      </c>
      <c r="C30" s="15" t="s">
        <v>110</v>
      </c>
      <c r="D30" s="15">
        <v>3</v>
      </c>
      <c r="E30" s="24"/>
      <c r="F30" s="27"/>
      <c r="G30" s="21" t="s">
        <v>92</v>
      </c>
      <c r="H30" s="15" t="s">
        <v>179</v>
      </c>
      <c r="I30" s="15"/>
      <c r="J30" s="27" t="s">
        <v>595</v>
      </c>
    </row>
    <row r="31" spans="1:10" x14ac:dyDescent="0.3">
      <c r="A31" s="15"/>
      <c r="B31" s="15" t="s">
        <v>36</v>
      </c>
      <c r="C31" s="15" t="s">
        <v>111</v>
      </c>
      <c r="D31" s="15">
        <v>3</v>
      </c>
      <c r="E31" s="24"/>
      <c r="F31" s="27"/>
      <c r="G31" s="21" t="s">
        <v>92</v>
      </c>
      <c r="H31" s="15" t="s">
        <v>179</v>
      </c>
      <c r="I31" s="15"/>
      <c r="J31" s="27"/>
    </row>
    <row r="32" spans="1:10" x14ac:dyDescent="0.3">
      <c r="A32" s="15"/>
      <c r="B32" s="15" t="s">
        <v>37</v>
      </c>
      <c r="C32" s="15" t="s">
        <v>115</v>
      </c>
      <c r="D32" s="15">
        <v>3</v>
      </c>
      <c r="E32" s="24"/>
      <c r="F32" s="27"/>
      <c r="G32" s="21" t="s">
        <v>102</v>
      </c>
      <c r="H32" s="15" t="s">
        <v>179</v>
      </c>
      <c r="I32" s="15"/>
      <c r="J32" s="27"/>
    </row>
    <row r="33" spans="1:10" x14ac:dyDescent="0.3">
      <c r="A33" s="15"/>
      <c r="B33" s="15" t="s">
        <v>38</v>
      </c>
      <c r="C33" s="15" t="s">
        <v>114</v>
      </c>
      <c r="D33" s="15">
        <v>3</v>
      </c>
      <c r="E33" s="24"/>
      <c r="F33" s="27"/>
      <c r="G33" s="21" t="s">
        <v>93</v>
      </c>
      <c r="H33" s="15" t="s">
        <v>179</v>
      </c>
      <c r="I33" s="15"/>
      <c r="J33" s="27"/>
    </row>
    <row r="34" spans="1:10" x14ac:dyDescent="0.3">
      <c r="A34" s="15"/>
      <c r="B34" s="15" t="s">
        <v>39</v>
      </c>
      <c r="C34" s="15" t="s">
        <v>112</v>
      </c>
      <c r="D34" s="15">
        <v>3</v>
      </c>
      <c r="E34" s="24"/>
      <c r="F34" s="27"/>
      <c r="G34" s="21" t="s">
        <v>94</v>
      </c>
      <c r="H34" s="15" t="s">
        <v>179</v>
      </c>
      <c r="I34" s="15"/>
      <c r="J34" s="27"/>
    </row>
    <row r="35" spans="1:10" x14ac:dyDescent="0.3">
      <c r="A35" s="15"/>
      <c r="B35" s="15" t="s">
        <v>40</v>
      </c>
      <c r="C35" s="15" t="s">
        <v>113</v>
      </c>
      <c r="D35" s="15">
        <v>3</v>
      </c>
      <c r="E35" s="24"/>
      <c r="F35" s="27"/>
      <c r="G35" s="21" t="s">
        <v>94</v>
      </c>
      <c r="H35" s="15" t="s">
        <v>179</v>
      </c>
      <c r="I35" s="15"/>
      <c r="J35" s="27"/>
    </row>
    <row r="36" spans="1:10" s="17" customFormat="1" x14ac:dyDescent="0.3">
      <c r="A36" s="56" t="s">
        <v>73</v>
      </c>
      <c r="B36" s="56"/>
      <c r="C36" s="56"/>
      <c r="D36" s="16">
        <f>SUM(D30:D35)</f>
        <v>18</v>
      </c>
      <c r="E36" s="25"/>
      <c r="F36" s="28"/>
      <c r="G36" s="22"/>
      <c r="H36" s="16"/>
      <c r="I36" s="16"/>
      <c r="J36" s="28"/>
    </row>
    <row r="37" spans="1:10" x14ac:dyDescent="0.3">
      <c r="A37" s="15"/>
      <c r="B37" s="15"/>
      <c r="C37" s="15"/>
      <c r="D37" s="15"/>
      <c r="E37" s="24" t="s">
        <v>84</v>
      </c>
      <c r="F37" s="27" t="s">
        <v>14</v>
      </c>
      <c r="G37" s="21"/>
      <c r="H37" s="15"/>
      <c r="I37" s="15"/>
      <c r="J37" s="27"/>
    </row>
    <row r="38" spans="1:10" x14ac:dyDescent="0.3">
      <c r="A38" s="15"/>
      <c r="B38" s="15" t="s">
        <v>41</v>
      </c>
      <c r="C38" s="15" t="s">
        <v>116</v>
      </c>
      <c r="D38" s="15">
        <v>3</v>
      </c>
      <c r="E38" s="24"/>
      <c r="F38" s="27"/>
      <c r="G38" s="21" t="s">
        <v>92</v>
      </c>
      <c r="H38" s="15" t="s">
        <v>179</v>
      </c>
      <c r="I38" s="15"/>
      <c r="J38" s="27" t="s">
        <v>596</v>
      </c>
    </row>
    <row r="39" spans="1:10" x14ac:dyDescent="0.3">
      <c r="A39" s="15"/>
      <c r="B39" s="15" t="s">
        <v>42</v>
      </c>
      <c r="C39" s="15" t="s">
        <v>117</v>
      </c>
      <c r="D39" s="15">
        <v>3</v>
      </c>
      <c r="E39" s="24"/>
      <c r="F39" s="27"/>
      <c r="G39" s="21" t="s">
        <v>92</v>
      </c>
      <c r="H39" s="15" t="s">
        <v>179</v>
      </c>
      <c r="I39" s="15"/>
      <c r="J39" s="27" t="s">
        <v>598</v>
      </c>
    </row>
    <row r="40" spans="1:10" x14ac:dyDescent="0.3">
      <c r="A40" s="15"/>
      <c r="B40" s="15" t="s">
        <v>43</v>
      </c>
      <c r="C40" s="15" t="s">
        <v>118</v>
      </c>
      <c r="D40" s="15">
        <v>3</v>
      </c>
      <c r="E40" s="24"/>
      <c r="F40" s="27"/>
      <c r="G40" s="21" t="s">
        <v>93</v>
      </c>
      <c r="H40" s="15" t="s">
        <v>179</v>
      </c>
      <c r="I40" s="15"/>
      <c r="J40" s="27"/>
    </row>
    <row r="41" spans="1:10" x14ac:dyDescent="0.3">
      <c r="A41" s="15"/>
      <c r="B41" s="15" t="s">
        <v>44</v>
      </c>
      <c r="C41" s="15" t="s">
        <v>119</v>
      </c>
      <c r="D41" s="15">
        <v>3</v>
      </c>
      <c r="E41" s="24"/>
      <c r="F41" s="27"/>
      <c r="G41" s="21" t="s">
        <v>93</v>
      </c>
      <c r="H41" s="15" t="s">
        <v>179</v>
      </c>
      <c r="I41" s="15"/>
      <c r="J41" s="27"/>
    </row>
    <row r="42" spans="1:10" x14ac:dyDescent="0.3">
      <c r="A42" s="15"/>
      <c r="B42" s="15" t="s">
        <v>45</v>
      </c>
      <c r="C42" s="15" t="s">
        <v>120</v>
      </c>
      <c r="D42" s="15">
        <v>3</v>
      </c>
      <c r="E42" s="24"/>
      <c r="F42" s="27"/>
      <c r="G42" s="21" t="s">
        <v>94</v>
      </c>
      <c r="H42" s="15" t="s">
        <v>179</v>
      </c>
      <c r="I42" s="15"/>
      <c r="J42" s="27"/>
    </row>
    <row r="43" spans="1:10" x14ac:dyDescent="0.3">
      <c r="A43" s="15"/>
      <c r="B43" s="15" t="s">
        <v>46</v>
      </c>
      <c r="C43" s="15" t="s">
        <v>121</v>
      </c>
      <c r="D43" s="15">
        <v>3</v>
      </c>
      <c r="E43" s="24"/>
      <c r="F43" s="27"/>
      <c r="G43" s="21" t="s">
        <v>94</v>
      </c>
      <c r="H43" s="15" t="s">
        <v>179</v>
      </c>
      <c r="I43" s="15"/>
      <c r="J43" s="27"/>
    </row>
    <row r="44" spans="1:10" s="17" customFormat="1" x14ac:dyDescent="0.3">
      <c r="A44" s="56" t="s">
        <v>73</v>
      </c>
      <c r="B44" s="56"/>
      <c r="C44" s="56"/>
      <c r="D44" s="16">
        <f>SUM(D38:D43)</f>
        <v>18</v>
      </c>
      <c r="E44" s="25"/>
      <c r="F44" s="28"/>
      <c r="G44" s="22"/>
      <c r="H44" s="16"/>
      <c r="I44" s="16"/>
      <c r="J44" s="28"/>
    </row>
    <row r="45" spans="1:10" x14ac:dyDescent="0.3">
      <c r="A45" s="15"/>
      <c r="B45" s="15"/>
      <c r="C45" s="15"/>
      <c r="D45" s="15"/>
      <c r="E45" s="24"/>
      <c r="F45" s="27" t="s">
        <v>81</v>
      </c>
      <c r="G45" s="21"/>
      <c r="H45" s="15"/>
      <c r="I45" s="15"/>
      <c r="J45" s="27"/>
    </row>
    <row r="46" spans="1:10" x14ac:dyDescent="0.3">
      <c r="A46" s="15"/>
      <c r="B46" s="15" t="s">
        <v>47</v>
      </c>
      <c r="C46" s="15" t="s">
        <v>122</v>
      </c>
      <c r="D46" s="15">
        <v>3</v>
      </c>
      <c r="E46" s="24"/>
      <c r="F46" s="27"/>
      <c r="G46" s="21" t="s">
        <v>92</v>
      </c>
      <c r="H46" s="15" t="s">
        <v>179</v>
      </c>
      <c r="I46" s="15"/>
      <c r="J46" s="27" t="s">
        <v>600</v>
      </c>
    </row>
    <row r="47" spans="1:10" x14ac:dyDescent="0.3">
      <c r="A47" s="15"/>
      <c r="B47" s="15" t="s">
        <v>48</v>
      </c>
      <c r="C47" s="15" t="s">
        <v>123</v>
      </c>
      <c r="D47" s="15">
        <v>3</v>
      </c>
      <c r="E47" s="24"/>
      <c r="F47" s="27"/>
      <c r="G47" s="21" t="s">
        <v>92</v>
      </c>
      <c r="H47" s="15" t="s">
        <v>179</v>
      </c>
      <c r="I47" s="15"/>
      <c r="J47" s="27" t="s">
        <v>600</v>
      </c>
    </row>
    <row r="48" spans="1:10" x14ac:dyDescent="0.3">
      <c r="A48" s="15"/>
      <c r="B48" s="15" t="s">
        <v>49</v>
      </c>
      <c r="C48" s="15" t="s">
        <v>124</v>
      </c>
      <c r="D48" s="15">
        <v>3</v>
      </c>
      <c r="E48" s="24"/>
      <c r="F48" s="27"/>
      <c r="G48" s="21" t="s">
        <v>92</v>
      </c>
      <c r="H48" s="15" t="s">
        <v>179</v>
      </c>
      <c r="I48" s="15"/>
      <c r="J48" s="27" t="s">
        <v>597</v>
      </c>
    </row>
    <row r="49" spans="1:10" x14ac:dyDescent="0.3">
      <c r="A49" s="15"/>
      <c r="B49" s="15" t="s">
        <v>50</v>
      </c>
      <c r="C49" s="15" t="s">
        <v>125</v>
      </c>
      <c r="D49" s="15">
        <v>3</v>
      </c>
      <c r="E49" s="24"/>
      <c r="F49" s="27"/>
      <c r="G49" s="21" t="s">
        <v>93</v>
      </c>
      <c r="H49" s="15" t="s">
        <v>179</v>
      </c>
      <c r="I49" s="15"/>
      <c r="J49" s="27"/>
    </row>
    <row r="50" spans="1:10" x14ac:dyDescent="0.3">
      <c r="A50" s="15"/>
      <c r="B50" s="15" t="s">
        <v>51</v>
      </c>
      <c r="C50" s="15" t="s">
        <v>176</v>
      </c>
      <c r="D50" s="15">
        <v>3</v>
      </c>
      <c r="E50" s="24"/>
      <c r="F50" s="27"/>
      <c r="G50" s="21" t="s">
        <v>94</v>
      </c>
      <c r="H50" s="15" t="s">
        <v>179</v>
      </c>
      <c r="I50" s="15"/>
      <c r="J50" s="27"/>
    </row>
    <row r="51" spans="1:10" x14ac:dyDescent="0.3">
      <c r="A51" s="15"/>
      <c r="B51" s="15" t="s">
        <v>52</v>
      </c>
      <c r="C51" s="15" t="s">
        <v>178</v>
      </c>
      <c r="D51" s="15">
        <v>3</v>
      </c>
      <c r="E51" s="24"/>
      <c r="F51" s="27"/>
      <c r="G51" s="21" t="s">
        <v>94</v>
      </c>
      <c r="H51" s="15" t="s">
        <v>179</v>
      </c>
      <c r="I51" s="15"/>
      <c r="J51" s="27"/>
    </row>
    <row r="52" spans="1:10" s="17" customFormat="1" ht="14.25" customHeight="1" x14ac:dyDescent="0.3">
      <c r="A52" s="56" t="s">
        <v>73</v>
      </c>
      <c r="B52" s="56"/>
      <c r="C52" s="56"/>
      <c r="D52" s="16">
        <f>SUM(D46:D51)</f>
        <v>18</v>
      </c>
      <c r="E52" s="25"/>
      <c r="F52" s="28"/>
      <c r="G52" s="22"/>
      <c r="H52" s="16"/>
      <c r="I52" s="16"/>
      <c r="J52" s="28"/>
    </row>
    <row r="53" spans="1:10" x14ac:dyDescent="0.3">
      <c r="A53" s="15"/>
      <c r="B53" s="15"/>
      <c r="C53" s="15"/>
      <c r="D53" s="15"/>
      <c r="E53" s="24"/>
      <c r="F53" s="27" t="s">
        <v>85</v>
      </c>
      <c r="G53" s="21"/>
      <c r="H53" s="15"/>
      <c r="I53" s="15"/>
      <c r="J53" s="27"/>
    </row>
    <row r="54" spans="1:10" x14ac:dyDescent="0.3">
      <c r="A54" s="15"/>
      <c r="B54" s="15" t="s">
        <v>53</v>
      </c>
      <c r="C54" s="15" t="s">
        <v>126</v>
      </c>
      <c r="D54" s="15">
        <v>6</v>
      </c>
      <c r="E54" s="24"/>
      <c r="F54" s="27"/>
      <c r="G54" s="21" t="s">
        <v>92</v>
      </c>
      <c r="H54" s="15" t="s">
        <v>179</v>
      </c>
      <c r="I54" s="15"/>
      <c r="J54" s="27" t="s">
        <v>599</v>
      </c>
    </row>
    <row r="55" spans="1:10" s="17" customFormat="1" x14ac:dyDescent="0.3">
      <c r="A55" s="56" t="s">
        <v>73</v>
      </c>
      <c r="B55" s="56"/>
      <c r="C55" s="56"/>
      <c r="D55" s="16">
        <f>SUM(D54)</f>
        <v>6</v>
      </c>
      <c r="E55" s="25"/>
      <c r="F55" s="28"/>
      <c r="G55" s="22"/>
      <c r="H55" s="16"/>
      <c r="I55" s="16"/>
      <c r="J55" s="28"/>
    </row>
    <row r="56" spans="1:10" x14ac:dyDescent="0.3">
      <c r="A56" s="15"/>
      <c r="B56" s="15"/>
      <c r="C56" s="15"/>
      <c r="D56" s="15"/>
      <c r="E56" s="24" t="s">
        <v>86</v>
      </c>
      <c r="F56" s="27" t="s">
        <v>14</v>
      </c>
      <c r="G56" s="21"/>
      <c r="H56" s="15"/>
      <c r="I56" s="15"/>
      <c r="J56" s="27"/>
    </row>
    <row r="57" spans="1:10" x14ac:dyDescent="0.3">
      <c r="A57" s="15"/>
      <c r="B57" s="15" t="s">
        <v>54</v>
      </c>
      <c r="C57" s="15" t="s">
        <v>80</v>
      </c>
      <c r="D57" s="15">
        <v>3</v>
      </c>
      <c r="E57" s="24"/>
      <c r="F57" s="27"/>
      <c r="G57" s="21" t="s">
        <v>92</v>
      </c>
      <c r="H57" s="15" t="s">
        <v>179</v>
      </c>
      <c r="I57" s="15"/>
      <c r="J57" s="27" t="s">
        <v>591</v>
      </c>
    </row>
    <row r="58" spans="1:10" x14ac:dyDescent="0.3">
      <c r="A58" s="15"/>
      <c r="B58" s="15" t="s">
        <v>55</v>
      </c>
      <c r="C58" s="15" t="s">
        <v>79</v>
      </c>
      <c r="D58" s="15">
        <v>3</v>
      </c>
      <c r="E58" s="24"/>
      <c r="F58" s="27"/>
      <c r="G58" s="21" t="s">
        <v>92</v>
      </c>
      <c r="H58" s="15" t="s">
        <v>179</v>
      </c>
      <c r="I58" s="15"/>
      <c r="J58" s="27" t="s">
        <v>591</v>
      </c>
    </row>
    <row r="59" spans="1:10" x14ac:dyDescent="0.3">
      <c r="A59" s="15"/>
      <c r="B59" s="15" t="s">
        <v>56</v>
      </c>
      <c r="C59" s="15" t="s">
        <v>78</v>
      </c>
      <c r="D59" s="15">
        <v>3</v>
      </c>
      <c r="E59" s="24"/>
      <c r="F59" s="27"/>
      <c r="G59" s="21" t="s">
        <v>93</v>
      </c>
      <c r="H59" s="15" t="s">
        <v>179</v>
      </c>
      <c r="I59" s="15"/>
      <c r="J59" s="27"/>
    </row>
    <row r="60" spans="1:10" x14ac:dyDescent="0.3">
      <c r="A60" s="15"/>
      <c r="B60" s="15" t="s">
        <v>57</v>
      </c>
      <c r="C60" s="15" t="s">
        <v>77</v>
      </c>
      <c r="D60" s="15">
        <v>3</v>
      </c>
      <c r="E60" s="24"/>
      <c r="F60" s="27"/>
      <c r="G60" s="21" t="s">
        <v>94</v>
      </c>
      <c r="H60" s="15" t="s">
        <v>179</v>
      </c>
      <c r="I60" s="15"/>
      <c r="J60" s="27"/>
    </row>
    <row r="61" spans="1:10" x14ac:dyDescent="0.3">
      <c r="B61" s="15" t="s">
        <v>58</v>
      </c>
      <c r="C61" s="15" t="s">
        <v>611</v>
      </c>
      <c r="D61" s="15">
        <v>3</v>
      </c>
      <c r="G61" s="21" t="s">
        <v>92</v>
      </c>
    </row>
    <row r="62" spans="1:10" x14ac:dyDescent="0.3">
      <c r="B62" s="19" t="s">
        <v>59</v>
      </c>
      <c r="C62" s="19" t="s">
        <v>75</v>
      </c>
      <c r="D62" s="19">
        <v>3</v>
      </c>
      <c r="G62" s="21" t="s">
        <v>93</v>
      </c>
      <c r="H62" s="19" t="s">
        <v>179</v>
      </c>
    </row>
    <row r="63" spans="1:10" x14ac:dyDescent="0.3">
      <c r="B63" s="19" t="s">
        <v>60</v>
      </c>
      <c r="C63" s="19" t="s">
        <v>74</v>
      </c>
      <c r="D63" s="19">
        <v>2</v>
      </c>
      <c r="G63" s="21" t="s">
        <v>102</v>
      </c>
      <c r="H63" s="19" t="s">
        <v>179</v>
      </c>
    </row>
    <row r="64" spans="1:10" s="17" customFormat="1" x14ac:dyDescent="0.3">
      <c r="A64" s="55" t="s">
        <v>73</v>
      </c>
      <c r="B64" s="55"/>
      <c r="C64" s="55"/>
      <c r="D64" s="20">
        <f>SUM(D57:D63)</f>
        <v>20</v>
      </c>
      <c r="E64" s="26"/>
      <c r="F64" s="29"/>
      <c r="G64" s="22"/>
      <c r="H64" s="20"/>
      <c r="J64" s="29"/>
    </row>
    <row r="65" spans="1:10" x14ac:dyDescent="0.3">
      <c r="D65" s="19"/>
      <c r="F65" s="2" t="s">
        <v>81</v>
      </c>
      <c r="G65" s="21"/>
      <c r="H65" s="19"/>
    </row>
    <row r="66" spans="1:10" x14ac:dyDescent="0.3">
      <c r="B66" s="19" t="s">
        <v>61</v>
      </c>
      <c r="C66" s="19" t="s">
        <v>72</v>
      </c>
      <c r="D66" s="19">
        <v>2</v>
      </c>
      <c r="G66" s="21" t="s">
        <v>92</v>
      </c>
      <c r="H66" s="19" t="s">
        <v>179</v>
      </c>
      <c r="J66" s="2" t="s">
        <v>591</v>
      </c>
    </row>
    <row r="67" spans="1:10" x14ac:dyDescent="0.3">
      <c r="B67" s="19" t="s">
        <v>62</v>
      </c>
      <c r="C67" s="19" t="s">
        <v>71</v>
      </c>
      <c r="D67" s="19">
        <v>3</v>
      </c>
      <c r="G67" s="21" t="s">
        <v>92</v>
      </c>
      <c r="H67" s="19" t="s">
        <v>179</v>
      </c>
      <c r="J67" s="2" t="s">
        <v>591</v>
      </c>
    </row>
    <row r="68" spans="1:10" x14ac:dyDescent="0.3">
      <c r="B68" s="19" t="s">
        <v>63</v>
      </c>
      <c r="C68" s="19" t="s">
        <v>70</v>
      </c>
      <c r="D68" s="19">
        <v>3</v>
      </c>
      <c r="G68" s="21" t="s">
        <v>93</v>
      </c>
      <c r="H68" s="19" t="s">
        <v>179</v>
      </c>
    </row>
    <row r="69" spans="1:10" x14ac:dyDescent="0.3">
      <c r="B69" s="19" t="s">
        <v>64</v>
      </c>
      <c r="C69" s="19" t="s">
        <v>69</v>
      </c>
      <c r="D69" s="19">
        <v>3</v>
      </c>
      <c r="G69" s="21" t="s">
        <v>93</v>
      </c>
      <c r="H69" s="19" t="s">
        <v>179</v>
      </c>
    </row>
    <row r="70" spans="1:10" x14ac:dyDescent="0.3">
      <c r="B70" s="19" t="s">
        <v>65</v>
      </c>
      <c r="C70" s="19" t="s">
        <v>68</v>
      </c>
      <c r="D70" s="19">
        <v>3</v>
      </c>
      <c r="G70" s="21" t="s">
        <v>94</v>
      </c>
      <c r="H70" s="19" t="s">
        <v>179</v>
      </c>
    </row>
    <row r="71" spans="1:10" x14ac:dyDescent="0.3">
      <c r="B71" s="19" t="s">
        <v>66</v>
      </c>
      <c r="C71" s="19" t="s">
        <v>67</v>
      </c>
      <c r="D71" s="19">
        <v>3</v>
      </c>
      <c r="G71" s="21" t="s">
        <v>94</v>
      </c>
      <c r="H71" s="19" t="s">
        <v>179</v>
      </c>
    </row>
    <row r="72" spans="1:10" s="17" customFormat="1" x14ac:dyDescent="0.3">
      <c r="A72" s="55" t="s">
        <v>73</v>
      </c>
      <c r="B72" s="55"/>
      <c r="C72" s="55"/>
      <c r="D72" s="20">
        <f>SUM(D66:D71)</f>
        <v>17</v>
      </c>
      <c r="E72" s="26"/>
      <c r="F72" s="29"/>
      <c r="G72" s="23"/>
      <c r="J72" s="29"/>
    </row>
    <row r="74" spans="1:10" x14ac:dyDescent="0.3">
      <c r="A74" t="s">
        <v>603</v>
      </c>
    </row>
    <row r="75" spans="1:10" x14ac:dyDescent="0.3">
      <c r="A75" t="s">
        <v>608</v>
      </c>
      <c r="B75">
        <f>SUMIF(G3:G71,G13,D3:D71)</f>
        <v>11</v>
      </c>
    </row>
    <row r="76" spans="1:10" x14ac:dyDescent="0.3">
      <c r="A76" t="s">
        <v>93</v>
      </c>
      <c r="B76">
        <f>SUMIF(G4:G72,G68,D4:D72)</f>
        <v>42</v>
      </c>
    </row>
    <row r="77" spans="1:10" x14ac:dyDescent="0.3">
      <c r="A77" t="s">
        <v>609</v>
      </c>
      <c r="B77">
        <f>SUMIF(G5:G73,G71,D5:D73)</f>
        <v>42</v>
      </c>
    </row>
    <row r="78" spans="1:10" x14ac:dyDescent="0.3">
      <c r="A78" t="s">
        <v>92</v>
      </c>
      <c r="B78">
        <f>SUMIF(G6:G74,G66,D6:D74)</f>
        <v>55</v>
      </c>
    </row>
    <row r="79" spans="1:10" x14ac:dyDescent="0.3">
      <c r="A79" t="s">
        <v>610</v>
      </c>
      <c r="B79">
        <f>SUM(B75:B78)</f>
        <v>150</v>
      </c>
    </row>
    <row r="82" spans="1:2" x14ac:dyDescent="0.3">
      <c r="A82" t="s">
        <v>604</v>
      </c>
    </row>
    <row r="83" spans="1:2" x14ac:dyDescent="0.3">
      <c r="A83" t="s">
        <v>605</v>
      </c>
      <c r="B83" t="s">
        <v>606</v>
      </c>
    </row>
    <row r="84" spans="1:2" x14ac:dyDescent="0.3">
      <c r="A84" t="s">
        <v>607</v>
      </c>
      <c r="B84" t="s">
        <v>606</v>
      </c>
    </row>
  </sheetData>
  <mergeCells count="9">
    <mergeCell ref="A72:C72"/>
    <mergeCell ref="A64:C64"/>
    <mergeCell ref="A19:C19"/>
    <mergeCell ref="A9:C9"/>
    <mergeCell ref="A28:C28"/>
    <mergeCell ref="A36:C36"/>
    <mergeCell ref="A44:C44"/>
    <mergeCell ref="A52:C52"/>
    <mergeCell ref="A55:C5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topLeftCell="A55" zoomScaleNormal="100" workbookViewId="0">
      <selection activeCell="C80" sqref="C80"/>
    </sheetView>
  </sheetViews>
  <sheetFormatPr defaultRowHeight="14.4" x14ac:dyDescent="0.3"/>
  <cols>
    <col min="2" max="2" width="12.109375" bestFit="1" customWidth="1"/>
    <col min="3" max="3" width="51.5546875" style="19" bestFit="1" customWidth="1"/>
    <col min="4" max="4" width="20.33203125" style="19" bestFit="1" customWidth="1"/>
    <col min="5" max="5" width="10.33203125" style="1" bestFit="1" customWidth="1"/>
    <col min="6" max="6" width="14.88671875" style="2" bestFit="1" customWidth="1"/>
    <col min="7" max="7" width="30.44140625" style="33" bestFit="1" customWidth="1"/>
    <col min="8" max="8" width="39.109375" style="19" bestFit="1" customWidth="1"/>
    <col min="9" max="9" width="5.6640625" bestFit="1" customWidth="1"/>
    <col min="10" max="10" width="158.88671875" style="27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1" t="s">
        <v>7</v>
      </c>
      <c r="I1" s="11" t="s">
        <v>8</v>
      </c>
      <c r="J1" s="13" t="s">
        <v>9</v>
      </c>
    </row>
    <row r="2" spans="1:10" x14ac:dyDescent="0.3">
      <c r="A2" s="11" t="s">
        <v>127</v>
      </c>
      <c r="B2" s="11" t="s">
        <v>10</v>
      </c>
      <c r="C2" s="11" t="s">
        <v>11</v>
      </c>
      <c r="D2" s="11" t="s">
        <v>12</v>
      </c>
      <c r="E2" s="12" t="s">
        <v>13</v>
      </c>
      <c r="F2" s="13" t="s">
        <v>14</v>
      </c>
      <c r="G2" s="14"/>
      <c r="H2" s="11"/>
      <c r="I2" s="11"/>
      <c r="J2" s="13"/>
    </row>
    <row r="3" spans="1:10" x14ac:dyDescent="0.3">
      <c r="A3" s="19"/>
      <c r="B3" s="19" t="s">
        <v>16</v>
      </c>
      <c r="C3" s="19" t="s">
        <v>87</v>
      </c>
      <c r="D3" s="19">
        <v>3</v>
      </c>
      <c r="E3" s="24"/>
      <c r="F3" s="27"/>
      <c r="G3" s="33" t="s">
        <v>92</v>
      </c>
      <c r="H3" s="19" t="s">
        <v>179</v>
      </c>
      <c r="I3" s="19"/>
    </row>
    <row r="4" spans="1:10" x14ac:dyDescent="0.3">
      <c r="A4" s="19"/>
      <c r="B4" s="19" t="s">
        <v>17</v>
      </c>
      <c r="C4" s="19" t="s">
        <v>88</v>
      </c>
      <c r="D4" s="19">
        <v>3</v>
      </c>
      <c r="E4" s="24"/>
      <c r="F4" s="27"/>
      <c r="G4" s="21" t="s">
        <v>102</v>
      </c>
      <c r="H4" s="19" t="s">
        <v>179</v>
      </c>
      <c r="I4" s="19"/>
    </row>
    <row r="5" spans="1:10" x14ac:dyDescent="0.3">
      <c r="A5" s="19"/>
      <c r="B5" s="19" t="s">
        <v>18</v>
      </c>
      <c r="C5" s="19" t="s">
        <v>89</v>
      </c>
      <c r="D5" s="19">
        <v>3</v>
      </c>
      <c r="E5" s="24"/>
      <c r="F5" s="27"/>
      <c r="G5" s="21" t="s">
        <v>93</v>
      </c>
      <c r="H5" s="19" t="s">
        <v>179</v>
      </c>
      <c r="I5" s="19"/>
    </row>
    <row r="6" spans="1:10" x14ac:dyDescent="0.3">
      <c r="A6" s="19"/>
      <c r="B6" s="19" t="s">
        <v>19</v>
      </c>
      <c r="C6" s="19" t="s">
        <v>107</v>
      </c>
      <c r="D6" s="19">
        <v>3</v>
      </c>
      <c r="E6" s="24"/>
      <c r="F6" s="27"/>
      <c r="G6" s="21" t="s">
        <v>93</v>
      </c>
      <c r="H6" s="19" t="s">
        <v>179</v>
      </c>
      <c r="I6" s="19"/>
    </row>
    <row r="7" spans="1:10" x14ac:dyDescent="0.3">
      <c r="A7" s="19"/>
      <c r="B7" s="19" t="s">
        <v>128</v>
      </c>
      <c r="C7" s="19" t="s">
        <v>130</v>
      </c>
      <c r="D7" s="19">
        <v>3</v>
      </c>
      <c r="E7" s="24"/>
      <c r="F7" s="27"/>
      <c r="G7" s="21" t="s">
        <v>168</v>
      </c>
      <c r="H7" s="19" t="s">
        <v>179</v>
      </c>
      <c r="I7" s="19"/>
    </row>
    <row r="8" spans="1:10" x14ac:dyDescent="0.3">
      <c r="A8" s="19"/>
      <c r="B8" s="19" t="s">
        <v>129</v>
      </c>
      <c r="C8" s="19" t="s">
        <v>131</v>
      </c>
      <c r="D8" s="19">
        <v>3</v>
      </c>
      <c r="E8" s="24"/>
      <c r="F8" s="27"/>
      <c r="G8" s="21" t="s">
        <v>168</v>
      </c>
      <c r="H8" s="19" t="s">
        <v>179</v>
      </c>
      <c r="I8" s="19"/>
    </row>
    <row r="9" spans="1:10" s="17" customFormat="1" x14ac:dyDescent="0.3">
      <c r="A9" s="57" t="s">
        <v>73</v>
      </c>
      <c r="B9" s="57"/>
      <c r="C9" s="57"/>
      <c r="D9" s="20">
        <f>SUM(D3:D8)</f>
        <v>18</v>
      </c>
      <c r="E9" s="25"/>
      <c r="F9" s="28"/>
      <c r="G9" s="22"/>
      <c r="H9" s="20"/>
      <c r="I9" s="20"/>
      <c r="J9" s="28"/>
    </row>
    <row r="10" spans="1:10" x14ac:dyDescent="0.3">
      <c r="A10" s="19"/>
      <c r="B10" s="19"/>
      <c r="E10" s="24"/>
      <c r="F10" s="27" t="s">
        <v>81</v>
      </c>
      <c r="G10" s="21"/>
      <c r="I10" s="19"/>
    </row>
    <row r="11" spans="1:10" x14ac:dyDescent="0.3">
      <c r="A11" s="19"/>
      <c r="B11" s="19" t="s">
        <v>22</v>
      </c>
      <c r="C11" s="19" t="s">
        <v>95</v>
      </c>
      <c r="D11" s="19">
        <v>2</v>
      </c>
      <c r="E11" s="24"/>
      <c r="F11" s="27"/>
      <c r="G11" s="33" t="s">
        <v>92</v>
      </c>
      <c r="H11" s="19" t="s">
        <v>179</v>
      </c>
      <c r="I11" s="19"/>
    </row>
    <row r="12" spans="1:10" x14ac:dyDescent="0.3">
      <c r="A12" s="19"/>
      <c r="B12" s="19" t="s">
        <v>23</v>
      </c>
      <c r="C12" s="19" t="s">
        <v>96</v>
      </c>
      <c r="D12" s="19">
        <v>2</v>
      </c>
      <c r="E12" s="24"/>
      <c r="F12" s="27"/>
      <c r="G12" s="33" t="s">
        <v>92</v>
      </c>
      <c r="H12" s="19" t="s">
        <v>179</v>
      </c>
      <c r="I12" s="19"/>
      <c r="J12" s="27" t="s">
        <v>592</v>
      </c>
    </row>
    <row r="13" spans="1:10" x14ac:dyDescent="0.3">
      <c r="A13" s="19"/>
      <c r="B13" s="19" t="s">
        <v>26</v>
      </c>
      <c r="C13" s="19" t="s">
        <v>106</v>
      </c>
      <c r="D13" s="19">
        <v>3</v>
      </c>
      <c r="E13" s="24"/>
      <c r="F13" s="27"/>
      <c r="G13" s="21" t="s">
        <v>93</v>
      </c>
      <c r="H13" s="19" t="s">
        <v>179</v>
      </c>
      <c r="I13" s="19"/>
    </row>
    <row r="14" spans="1:10" x14ac:dyDescent="0.3">
      <c r="A14" s="19"/>
      <c r="B14" s="19" t="s">
        <v>27</v>
      </c>
      <c r="C14" s="19" t="s">
        <v>99</v>
      </c>
      <c r="D14" s="19">
        <v>3</v>
      </c>
      <c r="E14" s="24"/>
      <c r="F14" s="27"/>
      <c r="G14" s="21" t="s">
        <v>93</v>
      </c>
      <c r="H14" s="19" t="s">
        <v>179</v>
      </c>
      <c r="I14" s="19"/>
    </row>
    <row r="15" spans="1:10" x14ac:dyDescent="0.3">
      <c r="A15" s="19"/>
      <c r="B15" s="19" t="s">
        <v>132</v>
      </c>
      <c r="C15" s="19" t="s">
        <v>134</v>
      </c>
      <c r="D15" s="19">
        <v>3</v>
      </c>
      <c r="E15" s="24"/>
      <c r="F15" s="27"/>
      <c r="G15" s="21" t="s">
        <v>168</v>
      </c>
      <c r="H15" s="19" t="s">
        <v>179</v>
      </c>
      <c r="I15" s="19"/>
    </row>
    <row r="16" spans="1:10" x14ac:dyDescent="0.3">
      <c r="A16" s="19"/>
      <c r="B16" s="19" t="s">
        <v>133</v>
      </c>
      <c r="C16" s="19" t="s">
        <v>135</v>
      </c>
      <c r="D16" s="19">
        <v>3</v>
      </c>
      <c r="E16" s="24"/>
      <c r="F16" s="27"/>
      <c r="G16" s="21" t="s">
        <v>168</v>
      </c>
      <c r="H16" s="19" t="s">
        <v>179</v>
      </c>
      <c r="I16" s="19"/>
    </row>
    <row r="17" spans="1:10" x14ac:dyDescent="0.3">
      <c r="A17" s="19"/>
      <c r="B17" s="19" t="s">
        <v>29</v>
      </c>
      <c r="C17" s="19" t="s">
        <v>101</v>
      </c>
      <c r="D17" s="19">
        <v>2</v>
      </c>
      <c r="E17" s="24"/>
      <c r="F17" s="27"/>
      <c r="G17" s="33" t="s">
        <v>92</v>
      </c>
      <c r="H17" s="19" t="s">
        <v>179</v>
      </c>
      <c r="I17" s="19"/>
    </row>
    <row r="18" spans="1:10" s="17" customFormat="1" x14ac:dyDescent="0.3">
      <c r="A18" s="57" t="s">
        <v>73</v>
      </c>
      <c r="B18" s="57"/>
      <c r="C18" s="57"/>
      <c r="D18" s="20">
        <f>SUM(D11:D17)</f>
        <v>18</v>
      </c>
      <c r="E18" s="25"/>
      <c r="F18" s="28"/>
      <c r="G18" s="22"/>
      <c r="H18" s="20"/>
      <c r="I18" s="20"/>
      <c r="J18" s="28"/>
    </row>
    <row r="19" spans="1:10" x14ac:dyDescent="0.3">
      <c r="A19" s="19"/>
      <c r="B19" s="19"/>
      <c r="E19" s="24" t="s">
        <v>136</v>
      </c>
      <c r="F19" s="27" t="s">
        <v>14</v>
      </c>
      <c r="G19" s="21"/>
      <c r="I19" s="19"/>
    </row>
    <row r="20" spans="1:10" x14ac:dyDescent="0.3">
      <c r="A20" s="19"/>
      <c r="B20" s="19" t="s">
        <v>30</v>
      </c>
      <c r="C20" s="19" t="s">
        <v>103</v>
      </c>
      <c r="D20" s="19">
        <v>3</v>
      </c>
      <c r="E20" s="24"/>
      <c r="F20" s="27"/>
      <c r="G20" s="33" t="s">
        <v>92</v>
      </c>
      <c r="H20" s="19" t="s">
        <v>179</v>
      </c>
      <c r="I20" s="19"/>
      <c r="J20" s="27" t="s">
        <v>593</v>
      </c>
    </row>
    <row r="21" spans="1:10" x14ac:dyDescent="0.3">
      <c r="A21" s="19"/>
      <c r="B21" s="19" t="s">
        <v>31</v>
      </c>
      <c r="C21" s="19" t="s">
        <v>104</v>
      </c>
      <c r="D21" s="19">
        <v>3</v>
      </c>
      <c r="E21" s="24"/>
      <c r="F21" s="27"/>
      <c r="G21" s="33" t="s">
        <v>92</v>
      </c>
      <c r="H21" s="19" t="s">
        <v>179</v>
      </c>
      <c r="I21" s="19"/>
    </row>
    <row r="22" spans="1:10" x14ac:dyDescent="0.3">
      <c r="A22" s="19"/>
      <c r="B22" s="19" t="s">
        <v>44</v>
      </c>
      <c r="C22" s="19" t="s">
        <v>138</v>
      </c>
      <c r="D22" s="19">
        <v>3</v>
      </c>
      <c r="E22" s="24"/>
      <c r="F22" s="27"/>
      <c r="G22" s="21" t="s">
        <v>93</v>
      </c>
      <c r="H22" s="19" t="s">
        <v>179</v>
      </c>
      <c r="I22" s="19"/>
    </row>
    <row r="23" spans="1:10" x14ac:dyDescent="0.3">
      <c r="A23" s="19"/>
      <c r="B23" s="19" t="s">
        <v>82</v>
      </c>
      <c r="C23" s="19" t="s">
        <v>107</v>
      </c>
      <c r="D23" s="19">
        <v>3</v>
      </c>
      <c r="E23" s="24"/>
      <c r="F23" s="27"/>
      <c r="G23" s="21" t="s">
        <v>93</v>
      </c>
      <c r="H23" s="19" t="s">
        <v>179</v>
      </c>
      <c r="I23" s="19"/>
    </row>
    <row r="24" spans="1:10" x14ac:dyDescent="0.3">
      <c r="A24" s="19"/>
      <c r="B24" s="19" t="s">
        <v>32</v>
      </c>
      <c r="C24" s="19" t="s">
        <v>105</v>
      </c>
      <c r="D24" s="19">
        <v>3</v>
      </c>
      <c r="E24" s="24"/>
      <c r="F24" s="27"/>
      <c r="G24" s="21" t="s">
        <v>93</v>
      </c>
      <c r="H24" s="19" t="s">
        <v>179</v>
      </c>
      <c r="I24" s="19"/>
    </row>
    <row r="25" spans="1:10" x14ac:dyDescent="0.3">
      <c r="A25" s="19"/>
      <c r="B25" s="19" t="s">
        <v>137</v>
      </c>
      <c r="C25" s="19" t="s">
        <v>130</v>
      </c>
      <c r="D25" s="19">
        <v>3</v>
      </c>
      <c r="E25" s="24"/>
      <c r="F25" s="27"/>
      <c r="G25" s="21" t="s">
        <v>168</v>
      </c>
      <c r="H25" s="19" t="s">
        <v>179</v>
      </c>
      <c r="I25" s="19"/>
    </row>
    <row r="26" spans="1:10" s="17" customFormat="1" x14ac:dyDescent="0.3">
      <c r="A26" s="57" t="s">
        <v>73</v>
      </c>
      <c r="B26" s="57"/>
      <c r="C26" s="57"/>
      <c r="D26" s="20">
        <f>SUM(D20:D25)</f>
        <v>18</v>
      </c>
      <c r="E26" s="25"/>
      <c r="F26" s="28"/>
      <c r="G26" s="22"/>
      <c r="H26" s="20"/>
      <c r="I26" s="20"/>
      <c r="J26" s="28"/>
    </row>
    <row r="27" spans="1:10" x14ac:dyDescent="0.3">
      <c r="F27" s="2" t="s">
        <v>81</v>
      </c>
    </row>
    <row r="28" spans="1:10" x14ac:dyDescent="0.3">
      <c r="A28" s="9"/>
      <c r="B28" s="9" t="s">
        <v>35</v>
      </c>
      <c r="C28" s="19" t="s">
        <v>110</v>
      </c>
      <c r="D28" s="19">
        <v>3</v>
      </c>
      <c r="E28" s="31"/>
      <c r="F28" s="32"/>
      <c r="G28" s="33" t="s">
        <v>92</v>
      </c>
      <c r="H28" s="19" t="s">
        <v>179</v>
      </c>
      <c r="I28" s="9"/>
      <c r="J28" s="27" t="s">
        <v>595</v>
      </c>
    </row>
    <row r="29" spans="1:10" x14ac:dyDescent="0.3">
      <c r="A29" s="9"/>
      <c r="B29" s="9" t="s">
        <v>36</v>
      </c>
      <c r="C29" s="19" t="s">
        <v>111</v>
      </c>
      <c r="D29" s="19">
        <v>3</v>
      </c>
      <c r="E29" s="31"/>
      <c r="F29" s="32"/>
      <c r="G29" s="33" t="s">
        <v>92</v>
      </c>
      <c r="H29" s="19" t="s">
        <v>179</v>
      </c>
      <c r="I29" s="9"/>
    </row>
    <row r="30" spans="1:10" x14ac:dyDescent="0.3">
      <c r="A30" s="9"/>
      <c r="B30" s="9" t="s">
        <v>139</v>
      </c>
      <c r="C30" s="19" t="s">
        <v>144</v>
      </c>
      <c r="D30" s="19">
        <v>3</v>
      </c>
      <c r="E30" s="31"/>
      <c r="F30" s="32"/>
      <c r="G30" s="33" t="s">
        <v>168</v>
      </c>
      <c r="H30" s="19" t="s">
        <v>179</v>
      </c>
      <c r="I30" s="9"/>
    </row>
    <row r="31" spans="1:10" x14ac:dyDescent="0.3">
      <c r="A31" s="9"/>
      <c r="B31" s="9" t="s">
        <v>38</v>
      </c>
      <c r="C31" s="19" t="s">
        <v>114</v>
      </c>
      <c r="D31" s="19">
        <v>3</v>
      </c>
      <c r="E31" s="31"/>
      <c r="F31" s="32"/>
      <c r="G31" s="33" t="s">
        <v>93</v>
      </c>
      <c r="H31" s="19" t="s">
        <v>179</v>
      </c>
      <c r="I31" s="9"/>
    </row>
    <row r="32" spans="1:10" x14ac:dyDescent="0.3">
      <c r="A32" s="9"/>
      <c r="B32" s="9" t="s">
        <v>140</v>
      </c>
      <c r="C32" s="19" t="s">
        <v>143</v>
      </c>
      <c r="D32" s="19">
        <v>3</v>
      </c>
      <c r="E32" s="31"/>
      <c r="F32" s="32"/>
      <c r="G32" s="33" t="s">
        <v>168</v>
      </c>
      <c r="H32" s="19" t="s">
        <v>179</v>
      </c>
      <c r="I32" s="9"/>
    </row>
    <row r="33" spans="1:10" x14ac:dyDescent="0.3">
      <c r="A33" s="9"/>
      <c r="B33" s="9" t="s">
        <v>24</v>
      </c>
      <c r="C33" s="19" t="s">
        <v>142</v>
      </c>
      <c r="D33" s="19">
        <v>1</v>
      </c>
      <c r="E33" s="31"/>
      <c r="F33" s="32"/>
      <c r="G33" s="33" t="s">
        <v>102</v>
      </c>
      <c r="H33" s="19" t="s">
        <v>179</v>
      </c>
      <c r="I33" s="9"/>
    </row>
    <row r="34" spans="1:10" x14ac:dyDescent="0.3">
      <c r="A34" s="9"/>
      <c r="B34" s="9" t="s">
        <v>25</v>
      </c>
      <c r="C34" s="19" t="s">
        <v>141</v>
      </c>
      <c r="D34" s="19">
        <v>2</v>
      </c>
      <c r="E34" s="31"/>
      <c r="F34" s="32"/>
      <c r="G34" s="33" t="s">
        <v>102</v>
      </c>
      <c r="H34" s="19" t="s">
        <v>179</v>
      </c>
      <c r="I34" s="9"/>
    </row>
    <row r="35" spans="1:10" s="17" customFormat="1" x14ac:dyDescent="0.3">
      <c r="A35" s="55" t="s">
        <v>73</v>
      </c>
      <c r="B35" s="55"/>
      <c r="C35" s="55"/>
      <c r="D35" s="20">
        <f>SUM(D28:D34)</f>
        <v>18</v>
      </c>
      <c r="E35" s="26"/>
      <c r="F35" s="29"/>
      <c r="G35" s="34"/>
      <c r="H35" s="20"/>
      <c r="J35" s="28"/>
    </row>
    <row r="36" spans="1:10" x14ac:dyDescent="0.3">
      <c r="E36" s="1" t="s">
        <v>84</v>
      </c>
      <c r="F36" s="2" t="s">
        <v>14</v>
      </c>
    </row>
    <row r="37" spans="1:10" x14ac:dyDescent="0.3">
      <c r="B37" t="s">
        <v>41</v>
      </c>
      <c r="C37" s="19" t="s">
        <v>147</v>
      </c>
      <c r="D37" s="19">
        <v>3</v>
      </c>
      <c r="G37" s="33" t="s">
        <v>92</v>
      </c>
      <c r="H37" s="19" t="s">
        <v>179</v>
      </c>
      <c r="J37" s="27" t="s">
        <v>596</v>
      </c>
    </row>
    <row r="38" spans="1:10" x14ac:dyDescent="0.3">
      <c r="B38" t="s">
        <v>42</v>
      </c>
      <c r="C38" s="19" t="s">
        <v>117</v>
      </c>
      <c r="D38" s="19">
        <v>3</v>
      </c>
      <c r="G38" s="33" t="s">
        <v>92</v>
      </c>
      <c r="H38" s="19" t="s">
        <v>179</v>
      </c>
      <c r="J38" s="27" t="s">
        <v>598</v>
      </c>
    </row>
    <row r="39" spans="1:10" x14ac:dyDescent="0.3">
      <c r="B39" t="s">
        <v>43</v>
      </c>
      <c r="C39" s="19" t="s">
        <v>118</v>
      </c>
      <c r="D39" s="19">
        <v>3</v>
      </c>
      <c r="G39" s="33" t="s">
        <v>93</v>
      </c>
      <c r="H39" s="19" t="s">
        <v>179</v>
      </c>
    </row>
    <row r="40" spans="1:10" x14ac:dyDescent="0.3">
      <c r="B40" t="s">
        <v>145</v>
      </c>
      <c r="C40" s="19" t="s">
        <v>148</v>
      </c>
      <c r="D40" s="19">
        <v>3</v>
      </c>
      <c r="G40" s="33" t="s">
        <v>168</v>
      </c>
      <c r="H40" s="19" t="s">
        <v>179</v>
      </c>
    </row>
    <row r="41" spans="1:10" x14ac:dyDescent="0.3">
      <c r="B41" t="s">
        <v>146</v>
      </c>
      <c r="C41" s="19" t="s">
        <v>149</v>
      </c>
      <c r="D41" s="19">
        <v>3</v>
      </c>
      <c r="G41" s="33" t="s">
        <v>168</v>
      </c>
      <c r="H41" s="19" t="s">
        <v>179</v>
      </c>
    </row>
    <row r="42" spans="1:10" x14ac:dyDescent="0.3">
      <c r="B42" t="s">
        <v>62</v>
      </c>
      <c r="C42" s="19" t="s">
        <v>150</v>
      </c>
      <c r="D42" s="19">
        <v>3</v>
      </c>
      <c r="G42" s="33" t="s">
        <v>92</v>
      </c>
      <c r="H42" s="19" t="s">
        <v>179</v>
      </c>
    </row>
    <row r="43" spans="1:10" s="17" customFormat="1" x14ac:dyDescent="0.3">
      <c r="A43" s="55" t="s">
        <v>73</v>
      </c>
      <c r="B43" s="55"/>
      <c r="C43" s="55"/>
      <c r="D43" s="20">
        <f>SUM(D37:D42)</f>
        <v>18</v>
      </c>
      <c r="E43" s="26"/>
      <c r="F43" s="29"/>
      <c r="G43" s="34"/>
      <c r="H43" s="20"/>
      <c r="J43" s="28"/>
    </row>
    <row r="44" spans="1:10" x14ac:dyDescent="0.3">
      <c r="F44" s="2" t="s">
        <v>81</v>
      </c>
    </row>
    <row r="45" spans="1:10" x14ac:dyDescent="0.3">
      <c r="B45" t="s">
        <v>47</v>
      </c>
      <c r="C45" s="19" t="s">
        <v>122</v>
      </c>
      <c r="D45" s="19">
        <v>3</v>
      </c>
      <c r="G45" s="33" t="s">
        <v>92</v>
      </c>
      <c r="H45" s="19" t="s">
        <v>179</v>
      </c>
      <c r="J45" s="27" t="s">
        <v>600</v>
      </c>
    </row>
    <row r="46" spans="1:10" x14ac:dyDescent="0.3">
      <c r="B46" t="s">
        <v>151</v>
      </c>
      <c r="C46" s="19" t="s">
        <v>154</v>
      </c>
      <c r="D46" s="19">
        <v>3</v>
      </c>
      <c r="G46" s="33" t="s">
        <v>92</v>
      </c>
      <c r="H46" s="19" t="s">
        <v>179</v>
      </c>
      <c r="J46" s="27" t="s">
        <v>600</v>
      </c>
    </row>
    <row r="47" spans="1:10" x14ac:dyDescent="0.3">
      <c r="B47" t="s">
        <v>49</v>
      </c>
      <c r="C47" s="19" t="s">
        <v>157</v>
      </c>
      <c r="D47" s="19">
        <v>3</v>
      </c>
      <c r="G47" s="33" t="s">
        <v>92</v>
      </c>
      <c r="H47" s="19" t="s">
        <v>179</v>
      </c>
      <c r="J47" s="27" t="s">
        <v>597</v>
      </c>
    </row>
    <row r="48" spans="1:10" x14ac:dyDescent="0.3">
      <c r="B48" t="s">
        <v>50</v>
      </c>
      <c r="C48" s="19" t="s">
        <v>125</v>
      </c>
      <c r="D48" s="19">
        <v>3</v>
      </c>
      <c r="G48" s="33" t="s">
        <v>93</v>
      </c>
      <c r="H48" s="19" t="s">
        <v>179</v>
      </c>
    </row>
    <row r="49" spans="1:10" x14ac:dyDescent="0.3">
      <c r="B49" t="s">
        <v>152</v>
      </c>
      <c r="C49" s="19" t="s">
        <v>155</v>
      </c>
      <c r="D49" s="19">
        <v>3</v>
      </c>
      <c r="G49" s="33" t="s">
        <v>168</v>
      </c>
      <c r="H49" s="19" t="s">
        <v>179</v>
      </c>
    </row>
    <row r="50" spans="1:10" x14ac:dyDescent="0.3">
      <c r="B50" t="s">
        <v>153</v>
      </c>
      <c r="C50" s="19" t="s">
        <v>156</v>
      </c>
      <c r="D50" s="19">
        <v>3</v>
      </c>
      <c r="G50" s="33" t="s">
        <v>168</v>
      </c>
      <c r="H50" s="19" t="s">
        <v>179</v>
      </c>
    </row>
    <row r="51" spans="1:10" s="17" customFormat="1" x14ac:dyDescent="0.3">
      <c r="A51" s="55" t="s">
        <v>73</v>
      </c>
      <c r="B51" s="55"/>
      <c r="C51" s="55"/>
      <c r="D51" s="20">
        <f>SUM(D45:D50)</f>
        <v>18</v>
      </c>
      <c r="E51" s="26"/>
      <c r="F51" s="29"/>
      <c r="G51" s="34"/>
      <c r="H51" s="20"/>
      <c r="J51" s="28"/>
    </row>
    <row r="52" spans="1:10" x14ac:dyDescent="0.3">
      <c r="A52" s="5"/>
      <c r="B52" s="5"/>
    </row>
    <row r="53" spans="1:10" x14ac:dyDescent="0.3">
      <c r="A53" s="5"/>
      <c r="F53" s="2" t="s">
        <v>85</v>
      </c>
    </row>
    <row r="54" spans="1:10" x14ac:dyDescent="0.3">
      <c r="A54" s="5"/>
      <c r="B54" t="s">
        <v>53</v>
      </c>
      <c r="C54" s="19" t="s">
        <v>126</v>
      </c>
      <c r="D54" s="19">
        <v>6</v>
      </c>
      <c r="G54" s="33" t="s">
        <v>92</v>
      </c>
      <c r="H54" s="19" t="s">
        <v>179</v>
      </c>
      <c r="J54" s="27" t="s">
        <v>599</v>
      </c>
    </row>
    <row r="55" spans="1:10" s="17" customFormat="1" x14ac:dyDescent="0.3">
      <c r="A55" s="55" t="s">
        <v>73</v>
      </c>
      <c r="B55" s="55"/>
      <c r="C55" s="55"/>
      <c r="D55" s="20">
        <f>SUM(D54)</f>
        <v>6</v>
      </c>
      <c r="E55" s="26"/>
      <c r="F55" s="29"/>
      <c r="G55" s="34"/>
      <c r="H55" s="20"/>
      <c r="J55" s="28"/>
    </row>
    <row r="56" spans="1:10" x14ac:dyDescent="0.3">
      <c r="A56" s="5"/>
      <c r="B56" s="5"/>
    </row>
    <row r="57" spans="1:10" x14ac:dyDescent="0.3">
      <c r="E57" s="1" t="s">
        <v>158</v>
      </c>
      <c r="F57" s="2" t="s">
        <v>159</v>
      </c>
    </row>
    <row r="58" spans="1:10" x14ac:dyDescent="0.3">
      <c r="B58" t="s">
        <v>54</v>
      </c>
      <c r="C58" s="19" t="s">
        <v>80</v>
      </c>
      <c r="D58" s="19">
        <v>3</v>
      </c>
      <c r="G58" s="33" t="s">
        <v>92</v>
      </c>
      <c r="H58" s="19" t="s">
        <v>179</v>
      </c>
      <c r="J58" s="27" t="s">
        <v>591</v>
      </c>
    </row>
    <row r="59" spans="1:10" x14ac:dyDescent="0.3">
      <c r="B59" t="s">
        <v>55</v>
      </c>
      <c r="C59" s="19" t="s">
        <v>79</v>
      </c>
      <c r="D59" s="19">
        <v>3</v>
      </c>
      <c r="G59" s="33" t="s">
        <v>92</v>
      </c>
      <c r="H59" s="19" t="s">
        <v>179</v>
      </c>
      <c r="J59" s="27" t="s">
        <v>591</v>
      </c>
    </row>
    <row r="60" spans="1:10" x14ac:dyDescent="0.3">
      <c r="B60" t="s">
        <v>56</v>
      </c>
      <c r="C60" s="19" t="s">
        <v>78</v>
      </c>
      <c r="D60" s="19">
        <v>3</v>
      </c>
      <c r="G60" s="33" t="s">
        <v>93</v>
      </c>
      <c r="H60" s="19" t="s">
        <v>179</v>
      </c>
    </row>
    <row r="61" spans="1:10" x14ac:dyDescent="0.3">
      <c r="B61" t="s">
        <v>160</v>
      </c>
      <c r="C61" s="19" t="s">
        <v>162</v>
      </c>
      <c r="D61" s="19">
        <v>3</v>
      </c>
      <c r="G61" s="33" t="s">
        <v>168</v>
      </c>
      <c r="H61" s="19" t="s">
        <v>179</v>
      </c>
    </row>
    <row r="62" spans="1:10" x14ac:dyDescent="0.3">
      <c r="B62" t="s">
        <v>161</v>
      </c>
      <c r="C62" s="19" t="s">
        <v>163</v>
      </c>
      <c r="D62" s="19">
        <v>3</v>
      </c>
      <c r="G62" s="33" t="s">
        <v>168</v>
      </c>
      <c r="H62" s="19" t="s">
        <v>179</v>
      </c>
    </row>
    <row r="63" spans="1:10" x14ac:dyDescent="0.3">
      <c r="B63" t="s">
        <v>59</v>
      </c>
      <c r="C63" s="19" t="s">
        <v>75</v>
      </c>
      <c r="D63" s="19">
        <v>3</v>
      </c>
      <c r="G63" s="33" t="s">
        <v>93</v>
      </c>
      <c r="H63" s="19" t="s">
        <v>179</v>
      </c>
    </row>
    <row r="64" spans="1:10" s="17" customFormat="1" x14ac:dyDescent="0.3">
      <c r="A64" s="55" t="s">
        <v>73</v>
      </c>
      <c r="B64" s="55"/>
      <c r="C64" s="55"/>
      <c r="D64" s="20">
        <f>SUM(D58:D63)</f>
        <v>18</v>
      </c>
      <c r="E64" s="26"/>
      <c r="F64" s="29"/>
      <c r="G64" s="34"/>
      <c r="H64" s="20"/>
      <c r="J64" s="28"/>
    </row>
    <row r="65" spans="1:10" x14ac:dyDescent="0.3">
      <c r="F65" s="2" t="s">
        <v>81</v>
      </c>
    </row>
    <row r="66" spans="1:10" x14ac:dyDescent="0.3">
      <c r="B66" t="s">
        <v>61</v>
      </c>
      <c r="C66" s="19" t="s">
        <v>72</v>
      </c>
      <c r="D66" s="19">
        <v>2</v>
      </c>
      <c r="G66" s="33" t="s">
        <v>92</v>
      </c>
      <c r="H66" s="19" t="s">
        <v>179</v>
      </c>
      <c r="J66" s="27" t="s">
        <v>591</v>
      </c>
    </row>
    <row r="67" spans="1:10" x14ac:dyDescent="0.3">
      <c r="B67" t="s">
        <v>60</v>
      </c>
      <c r="C67" s="19" t="s">
        <v>167</v>
      </c>
      <c r="D67" s="19">
        <v>2</v>
      </c>
      <c r="G67" s="33" t="s">
        <v>102</v>
      </c>
      <c r="H67" s="19" t="s">
        <v>179</v>
      </c>
      <c r="J67" s="27" t="s">
        <v>591</v>
      </c>
    </row>
    <row r="68" spans="1:10" x14ac:dyDescent="0.3">
      <c r="B68" t="s">
        <v>63</v>
      </c>
      <c r="C68" s="19" t="s">
        <v>70</v>
      </c>
      <c r="D68" s="19">
        <v>3</v>
      </c>
      <c r="G68" s="33" t="s">
        <v>93</v>
      </c>
      <c r="H68" s="19" t="s">
        <v>179</v>
      </c>
    </row>
    <row r="69" spans="1:10" x14ac:dyDescent="0.3">
      <c r="B69" t="s">
        <v>64</v>
      </c>
      <c r="C69" s="19" t="s">
        <v>69</v>
      </c>
      <c r="D69" s="19">
        <v>3</v>
      </c>
      <c r="G69" s="33" t="s">
        <v>93</v>
      </c>
      <c r="H69" s="19" t="s">
        <v>179</v>
      </c>
    </row>
    <row r="70" spans="1:10" x14ac:dyDescent="0.3">
      <c r="B70" t="s">
        <v>164</v>
      </c>
      <c r="C70" s="19" t="s">
        <v>165</v>
      </c>
      <c r="D70" s="19">
        <v>3</v>
      </c>
      <c r="G70" s="33" t="s">
        <v>168</v>
      </c>
      <c r="H70" s="19" t="s">
        <v>179</v>
      </c>
    </row>
    <row r="71" spans="1:10" x14ac:dyDescent="0.3">
      <c r="B71" t="s">
        <v>37</v>
      </c>
      <c r="C71" s="19" t="s">
        <v>166</v>
      </c>
      <c r="D71" s="19">
        <v>3</v>
      </c>
      <c r="G71" s="33" t="s">
        <v>102</v>
      </c>
      <c r="H71" s="19" t="s">
        <v>179</v>
      </c>
    </row>
    <row r="72" spans="1:10" x14ac:dyDescent="0.3">
      <c r="B72" t="s">
        <v>58</v>
      </c>
      <c r="C72" s="19" t="s">
        <v>76</v>
      </c>
      <c r="D72" s="19">
        <v>3</v>
      </c>
      <c r="G72" s="33" t="s">
        <v>92</v>
      </c>
      <c r="H72" s="19" t="s">
        <v>179</v>
      </c>
    </row>
    <row r="73" spans="1:10" s="17" customFormat="1" x14ac:dyDescent="0.3">
      <c r="A73" s="55" t="s">
        <v>73</v>
      </c>
      <c r="B73" s="55"/>
      <c r="C73" s="55"/>
      <c r="D73" s="20">
        <f>SUM(D66:D72)</f>
        <v>19</v>
      </c>
      <c r="E73" s="26"/>
      <c r="F73" s="29"/>
      <c r="G73" s="34"/>
      <c r="H73" s="20"/>
      <c r="J73" s="28"/>
    </row>
    <row r="75" spans="1:10" x14ac:dyDescent="0.3">
      <c r="A75" t="s">
        <v>603</v>
      </c>
    </row>
    <row r="76" spans="1:10" x14ac:dyDescent="0.3">
      <c r="A76" t="s">
        <v>608</v>
      </c>
      <c r="B76">
        <f>SUMIF(G4:G72,G67,D4:D72)</f>
        <v>11</v>
      </c>
    </row>
    <row r="77" spans="1:10" x14ac:dyDescent="0.3">
      <c r="A77" t="s">
        <v>93</v>
      </c>
      <c r="B77">
        <f>SUMIF(G5:G73,G68,D5:D73)</f>
        <v>42</v>
      </c>
    </row>
    <row r="78" spans="1:10" x14ac:dyDescent="0.3">
      <c r="A78" t="s">
        <v>612</v>
      </c>
      <c r="B78">
        <f>SUMIF(G6:G74,G62,D6:D74)</f>
        <v>42</v>
      </c>
    </row>
    <row r="79" spans="1:10" x14ac:dyDescent="0.3">
      <c r="A79" t="s">
        <v>92</v>
      </c>
      <c r="B79">
        <f>SUMIF(G7:G75,G72,D7:D75)</f>
        <v>53</v>
      </c>
    </row>
    <row r="80" spans="1:10" x14ac:dyDescent="0.3">
      <c r="A80" t="s">
        <v>610</v>
      </c>
      <c r="B80">
        <f>SUM(B76:B79)</f>
        <v>148</v>
      </c>
    </row>
    <row r="83" spans="1:2" x14ac:dyDescent="0.3">
      <c r="A83" t="s">
        <v>604</v>
      </c>
    </row>
    <row r="84" spans="1:2" x14ac:dyDescent="0.3">
      <c r="A84" t="s">
        <v>605</v>
      </c>
      <c r="B84" t="s">
        <v>606</v>
      </c>
    </row>
    <row r="85" spans="1:2" x14ac:dyDescent="0.3">
      <c r="A85" t="s">
        <v>607</v>
      </c>
      <c r="B85" t="s">
        <v>606</v>
      </c>
    </row>
  </sheetData>
  <mergeCells count="9">
    <mergeCell ref="A51:C51"/>
    <mergeCell ref="A55:C55"/>
    <mergeCell ref="A64:C64"/>
    <mergeCell ref="A73:C73"/>
    <mergeCell ref="A9:C9"/>
    <mergeCell ref="A18:C18"/>
    <mergeCell ref="A26:C26"/>
    <mergeCell ref="A35:C35"/>
    <mergeCell ref="A43:C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opLeftCell="A31" workbookViewId="0">
      <selection activeCell="C88" sqref="C88"/>
    </sheetView>
  </sheetViews>
  <sheetFormatPr defaultRowHeight="14.4" x14ac:dyDescent="0.3"/>
  <cols>
    <col min="2" max="2" width="12.109375" bestFit="1" customWidth="1"/>
    <col min="3" max="3" width="46.44140625" bestFit="1" customWidth="1"/>
    <col min="4" max="4" width="20.33203125" bestFit="1" customWidth="1"/>
    <col min="5" max="5" width="10.33203125" style="1" bestFit="1" customWidth="1"/>
    <col min="6" max="6" width="14.88671875" style="2" bestFit="1" customWidth="1"/>
    <col min="7" max="7" width="30.44140625" style="3" bestFit="1" customWidth="1"/>
    <col min="8" max="8" width="39.109375" bestFit="1" customWidth="1"/>
    <col min="9" max="9" width="5.6640625" bestFit="1" customWidth="1"/>
    <col min="10" max="10" width="158.88671875" style="2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1" t="s">
        <v>7</v>
      </c>
      <c r="I1" s="11" t="s">
        <v>8</v>
      </c>
      <c r="J1" s="13" t="s">
        <v>9</v>
      </c>
    </row>
    <row r="2" spans="1:10" x14ac:dyDescent="0.3">
      <c r="A2" s="11" t="s">
        <v>169</v>
      </c>
      <c r="B2" s="11" t="s">
        <v>10</v>
      </c>
      <c r="C2" s="11" t="s">
        <v>11</v>
      </c>
      <c r="D2" s="11" t="s">
        <v>12</v>
      </c>
      <c r="E2" s="12" t="s">
        <v>13</v>
      </c>
      <c r="F2" s="13" t="s">
        <v>14</v>
      </c>
      <c r="G2" s="14"/>
      <c r="H2" s="11"/>
      <c r="I2" s="11"/>
      <c r="J2" s="13"/>
    </row>
    <row r="3" spans="1:10" x14ac:dyDescent="0.3">
      <c r="A3" s="19"/>
      <c r="B3" s="19" t="s">
        <v>16</v>
      </c>
      <c r="C3" s="19" t="s">
        <v>87</v>
      </c>
      <c r="D3" s="19">
        <v>3</v>
      </c>
      <c r="E3" s="24"/>
      <c r="F3" s="27"/>
      <c r="G3" s="21" t="s">
        <v>92</v>
      </c>
      <c r="H3" s="19" t="s">
        <v>179</v>
      </c>
      <c r="I3" s="19"/>
      <c r="J3" s="27"/>
    </row>
    <row r="4" spans="1:10" x14ac:dyDescent="0.3">
      <c r="A4" s="19"/>
      <c r="B4" s="19" t="s">
        <v>17</v>
      </c>
      <c r="C4" s="19" t="s">
        <v>88</v>
      </c>
      <c r="D4" s="19">
        <v>3</v>
      </c>
      <c r="E4" s="24"/>
      <c r="F4" s="27"/>
      <c r="G4" s="21" t="s">
        <v>102</v>
      </c>
      <c r="H4" s="19" t="s">
        <v>179</v>
      </c>
      <c r="I4" s="19"/>
      <c r="J4" s="27"/>
    </row>
    <row r="5" spans="1:10" x14ac:dyDescent="0.3">
      <c r="A5" s="19"/>
      <c r="B5" s="19" t="s">
        <v>20</v>
      </c>
      <c r="C5" s="19" t="s">
        <v>90</v>
      </c>
      <c r="D5" s="19">
        <v>3</v>
      </c>
      <c r="E5" s="24"/>
      <c r="F5" s="27"/>
      <c r="G5" s="21" t="s">
        <v>94</v>
      </c>
      <c r="H5" s="19" t="s">
        <v>179</v>
      </c>
      <c r="I5" s="19"/>
      <c r="J5" s="27"/>
    </row>
    <row r="6" spans="1:10" x14ac:dyDescent="0.3">
      <c r="A6" s="19"/>
      <c r="B6" s="19" t="s">
        <v>21</v>
      </c>
      <c r="C6" s="19" t="s">
        <v>91</v>
      </c>
      <c r="D6" s="19">
        <v>3</v>
      </c>
      <c r="E6" s="24"/>
      <c r="F6" s="27"/>
      <c r="G6" s="21" t="s">
        <v>94</v>
      </c>
      <c r="H6" s="19" t="s">
        <v>179</v>
      </c>
      <c r="I6" s="19"/>
      <c r="J6" s="27"/>
    </row>
    <row r="7" spans="1:10" x14ac:dyDescent="0.3">
      <c r="A7" s="19"/>
      <c r="B7" s="19" t="s">
        <v>128</v>
      </c>
      <c r="C7" s="19" t="s">
        <v>130</v>
      </c>
      <c r="D7" s="19">
        <v>3</v>
      </c>
      <c r="E7" s="24"/>
      <c r="F7" s="27"/>
      <c r="G7" s="21" t="s">
        <v>168</v>
      </c>
      <c r="H7" s="19" t="s">
        <v>179</v>
      </c>
      <c r="I7" s="19"/>
      <c r="J7" s="27"/>
    </row>
    <row r="8" spans="1:10" x14ac:dyDescent="0.3">
      <c r="A8" s="19"/>
      <c r="B8" s="19" t="s">
        <v>129</v>
      </c>
      <c r="C8" s="19" t="s">
        <v>131</v>
      </c>
      <c r="D8" s="19">
        <v>3</v>
      </c>
      <c r="E8" s="24"/>
      <c r="F8" s="27"/>
      <c r="G8" s="21" t="s">
        <v>168</v>
      </c>
      <c r="H8" s="19" t="s">
        <v>179</v>
      </c>
      <c r="I8" s="19"/>
      <c r="J8" s="27"/>
    </row>
    <row r="9" spans="1:10" s="17" customFormat="1" x14ac:dyDescent="0.3">
      <c r="A9" s="57" t="s">
        <v>73</v>
      </c>
      <c r="B9" s="57"/>
      <c r="C9" s="57"/>
      <c r="D9" s="20">
        <f>SUM(D3:D8)</f>
        <v>18</v>
      </c>
      <c r="E9" s="25"/>
      <c r="F9" s="28"/>
      <c r="G9" s="22"/>
      <c r="H9" s="20"/>
      <c r="I9" s="20"/>
      <c r="J9" s="28"/>
    </row>
    <row r="10" spans="1:10" x14ac:dyDescent="0.3">
      <c r="A10" s="19"/>
      <c r="B10" s="19"/>
      <c r="C10" s="19"/>
      <c r="D10" s="19"/>
      <c r="E10" s="24"/>
      <c r="F10" s="27" t="s">
        <v>81</v>
      </c>
      <c r="G10" s="21"/>
      <c r="H10" s="19"/>
      <c r="I10" s="19"/>
      <c r="J10" s="27"/>
    </row>
    <row r="11" spans="1:10" x14ac:dyDescent="0.3">
      <c r="A11" s="19"/>
      <c r="B11" s="19" t="s">
        <v>22</v>
      </c>
      <c r="C11" s="19" t="s">
        <v>95</v>
      </c>
      <c r="D11" s="19">
        <v>2</v>
      </c>
      <c r="E11" s="24"/>
      <c r="F11" s="27"/>
      <c r="G11" s="21" t="s">
        <v>92</v>
      </c>
      <c r="H11" s="19" t="s">
        <v>179</v>
      </c>
      <c r="I11" s="19"/>
      <c r="J11" s="27"/>
    </row>
    <row r="12" spans="1:10" x14ac:dyDescent="0.3">
      <c r="A12" s="19"/>
      <c r="B12" s="19" t="s">
        <v>23</v>
      </c>
      <c r="C12" s="19" t="s">
        <v>96</v>
      </c>
      <c r="D12" s="19">
        <v>2</v>
      </c>
      <c r="E12" s="24"/>
      <c r="F12" s="27"/>
      <c r="G12" s="21" t="s">
        <v>92</v>
      </c>
      <c r="H12" s="19" t="s">
        <v>179</v>
      </c>
      <c r="I12" s="19"/>
      <c r="J12" s="27" t="s">
        <v>592</v>
      </c>
    </row>
    <row r="13" spans="1:10" x14ac:dyDescent="0.3">
      <c r="A13" s="19"/>
      <c r="B13" s="19" t="s">
        <v>24</v>
      </c>
      <c r="C13" s="19" t="s">
        <v>170</v>
      </c>
      <c r="D13" s="19">
        <v>1</v>
      </c>
      <c r="E13" s="24"/>
      <c r="F13" s="27"/>
      <c r="G13" s="21" t="s">
        <v>102</v>
      </c>
      <c r="H13" s="19" t="s">
        <v>179</v>
      </c>
      <c r="I13" s="19"/>
      <c r="J13" s="27"/>
    </row>
    <row r="14" spans="1:10" x14ac:dyDescent="0.3">
      <c r="A14" s="19"/>
      <c r="B14" s="19" t="s">
        <v>25</v>
      </c>
      <c r="C14" s="19" t="s">
        <v>171</v>
      </c>
      <c r="D14" s="19">
        <v>2</v>
      </c>
      <c r="E14" s="24"/>
      <c r="F14" s="27"/>
      <c r="G14" s="21" t="s">
        <v>102</v>
      </c>
      <c r="H14" s="19" t="s">
        <v>179</v>
      </c>
      <c r="I14" s="19"/>
      <c r="J14" s="27"/>
    </row>
    <row r="15" spans="1:10" x14ac:dyDescent="0.3">
      <c r="A15" s="19"/>
      <c r="B15" s="19" t="s">
        <v>28</v>
      </c>
      <c r="C15" s="19" t="s">
        <v>172</v>
      </c>
      <c r="D15" s="19">
        <v>3</v>
      </c>
      <c r="E15" s="24"/>
      <c r="F15" s="27"/>
      <c r="G15" s="21" t="s">
        <v>94</v>
      </c>
      <c r="H15" s="19" t="s">
        <v>179</v>
      </c>
      <c r="I15" s="19"/>
      <c r="J15" s="27"/>
    </row>
    <row r="16" spans="1:10" x14ac:dyDescent="0.3">
      <c r="A16" s="19"/>
      <c r="B16" s="19" t="s">
        <v>132</v>
      </c>
      <c r="C16" s="19" t="s">
        <v>134</v>
      </c>
      <c r="D16" s="19">
        <v>3</v>
      </c>
      <c r="E16" s="24"/>
      <c r="F16" s="27"/>
      <c r="G16" s="21" t="s">
        <v>168</v>
      </c>
      <c r="H16" s="19" t="s">
        <v>179</v>
      </c>
      <c r="I16" s="19"/>
      <c r="J16" s="27"/>
    </row>
    <row r="17" spans="1:10" x14ac:dyDescent="0.3">
      <c r="A17" s="19"/>
      <c r="B17" s="19" t="s">
        <v>133</v>
      </c>
      <c r="C17" s="19" t="s">
        <v>135</v>
      </c>
      <c r="D17" s="19">
        <v>3</v>
      </c>
      <c r="E17" s="24"/>
      <c r="F17" s="27"/>
      <c r="G17" s="21" t="s">
        <v>168</v>
      </c>
      <c r="H17" s="19" t="s">
        <v>179</v>
      </c>
      <c r="I17" s="19"/>
      <c r="J17" s="27"/>
    </row>
    <row r="18" spans="1:10" x14ac:dyDescent="0.3">
      <c r="A18" s="19"/>
      <c r="B18" s="19" t="s">
        <v>29</v>
      </c>
      <c r="C18" s="19" t="s">
        <v>101</v>
      </c>
      <c r="D18" s="19">
        <v>2</v>
      </c>
      <c r="E18" s="24"/>
      <c r="F18" s="27"/>
      <c r="G18" s="21" t="s">
        <v>94</v>
      </c>
      <c r="H18" s="19" t="s">
        <v>179</v>
      </c>
      <c r="I18" s="19"/>
      <c r="J18" s="27"/>
    </row>
    <row r="19" spans="1:10" s="17" customFormat="1" x14ac:dyDescent="0.3">
      <c r="A19" s="57" t="s">
        <v>73</v>
      </c>
      <c r="B19" s="57"/>
      <c r="C19" s="57"/>
      <c r="D19" s="20">
        <f>SUM(D11:D18)</f>
        <v>18</v>
      </c>
      <c r="E19" s="25"/>
      <c r="F19" s="28"/>
      <c r="G19" s="22"/>
      <c r="H19" s="20"/>
      <c r="I19" s="20"/>
      <c r="J19" s="28"/>
    </row>
    <row r="20" spans="1:10" x14ac:dyDescent="0.3">
      <c r="A20" s="19"/>
      <c r="B20" s="19"/>
      <c r="C20" s="19"/>
      <c r="D20" s="19"/>
      <c r="E20" s="24" t="s">
        <v>136</v>
      </c>
      <c r="F20" s="27" t="s">
        <v>14</v>
      </c>
      <c r="G20" s="21"/>
      <c r="H20" s="19"/>
      <c r="I20" s="19"/>
      <c r="J20" s="27"/>
    </row>
    <row r="21" spans="1:10" x14ac:dyDescent="0.3">
      <c r="A21" s="19"/>
      <c r="B21" s="19" t="s">
        <v>30</v>
      </c>
      <c r="C21" s="19" t="s">
        <v>103</v>
      </c>
      <c r="D21" s="19">
        <v>3</v>
      </c>
      <c r="E21" s="24"/>
      <c r="F21" s="27"/>
      <c r="G21" s="21" t="s">
        <v>92</v>
      </c>
      <c r="H21" s="19" t="s">
        <v>179</v>
      </c>
      <c r="I21" s="19"/>
      <c r="J21" s="27" t="s">
        <v>594</v>
      </c>
    </row>
    <row r="22" spans="1:10" x14ac:dyDescent="0.3">
      <c r="A22" s="19"/>
      <c r="B22" s="19" t="s">
        <v>31</v>
      </c>
      <c r="C22" s="19" t="s">
        <v>104</v>
      </c>
      <c r="D22" s="19">
        <v>3</v>
      </c>
      <c r="E22" s="24"/>
      <c r="F22" s="27"/>
      <c r="G22" s="21" t="s">
        <v>92</v>
      </c>
      <c r="H22" s="19" t="s">
        <v>179</v>
      </c>
      <c r="I22" s="19"/>
      <c r="J22" s="27"/>
    </row>
    <row r="23" spans="1:10" x14ac:dyDescent="0.3">
      <c r="A23" s="19"/>
      <c r="B23" s="19" t="s">
        <v>58</v>
      </c>
      <c r="C23" s="19" t="s">
        <v>173</v>
      </c>
      <c r="D23" s="19">
        <v>2</v>
      </c>
      <c r="E23" s="24"/>
      <c r="F23" s="27"/>
      <c r="G23" s="21" t="s">
        <v>94</v>
      </c>
      <c r="H23" s="19" t="s">
        <v>179</v>
      </c>
      <c r="I23" s="19"/>
      <c r="J23" s="27"/>
    </row>
    <row r="24" spans="1:10" x14ac:dyDescent="0.3">
      <c r="A24" s="19"/>
      <c r="B24" s="19" t="s">
        <v>33</v>
      </c>
      <c r="C24" s="19" t="s">
        <v>108</v>
      </c>
      <c r="D24" s="19">
        <v>3</v>
      </c>
      <c r="E24" s="24"/>
      <c r="F24" s="27"/>
      <c r="G24" s="21" t="s">
        <v>94</v>
      </c>
      <c r="H24" s="19" t="s">
        <v>179</v>
      </c>
      <c r="I24" s="19"/>
      <c r="J24" s="27"/>
    </row>
    <row r="25" spans="1:10" x14ac:dyDescent="0.3">
      <c r="A25" s="19"/>
      <c r="B25" s="19" t="s">
        <v>137</v>
      </c>
      <c r="C25" s="19" t="s">
        <v>130</v>
      </c>
      <c r="D25" s="19">
        <v>3</v>
      </c>
      <c r="E25" s="24"/>
      <c r="F25" s="27"/>
      <c r="G25" s="21" t="s">
        <v>168</v>
      </c>
      <c r="H25" s="19" t="s">
        <v>179</v>
      </c>
      <c r="I25" s="19"/>
      <c r="J25" s="27"/>
    </row>
    <row r="26" spans="1:10" x14ac:dyDescent="0.3">
      <c r="A26" s="19"/>
      <c r="B26" s="19" t="s">
        <v>34</v>
      </c>
      <c r="C26" s="19" t="s">
        <v>109</v>
      </c>
      <c r="D26" s="19">
        <v>3</v>
      </c>
      <c r="E26" s="24"/>
      <c r="F26" s="27"/>
      <c r="G26" s="21" t="s">
        <v>168</v>
      </c>
      <c r="H26" s="19" t="s">
        <v>179</v>
      </c>
      <c r="I26" s="19"/>
      <c r="J26" s="27"/>
    </row>
    <row r="27" spans="1:10" s="17" customFormat="1" x14ac:dyDescent="0.3">
      <c r="A27" s="57" t="s">
        <v>73</v>
      </c>
      <c r="B27" s="57"/>
      <c r="C27" s="57"/>
      <c r="D27" s="20">
        <f>SUM(D21:D26)</f>
        <v>17</v>
      </c>
      <c r="E27" s="25"/>
      <c r="F27" s="28"/>
      <c r="G27" s="22"/>
      <c r="H27" s="20"/>
      <c r="I27" s="20"/>
      <c r="J27" s="28"/>
    </row>
    <row r="28" spans="1:10" x14ac:dyDescent="0.3">
      <c r="A28" s="19"/>
      <c r="B28" s="19"/>
      <c r="C28" s="19"/>
      <c r="D28" s="19"/>
      <c r="E28" s="24"/>
      <c r="F28" s="27" t="s">
        <v>81</v>
      </c>
      <c r="G28" s="21"/>
      <c r="H28" s="19"/>
      <c r="I28" s="19"/>
      <c r="J28" s="27"/>
    </row>
    <row r="29" spans="1:10" x14ac:dyDescent="0.3">
      <c r="A29" s="19"/>
      <c r="B29" s="19" t="s">
        <v>35</v>
      </c>
      <c r="C29" s="19" t="s">
        <v>110</v>
      </c>
      <c r="D29" s="19">
        <v>3</v>
      </c>
      <c r="E29" s="24"/>
      <c r="F29" s="27"/>
      <c r="G29" s="21" t="s">
        <v>92</v>
      </c>
      <c r="H29" s="19" t="s">
        <v>179</v>
      </c>
      <c r="I29" s="19"/>
      <c r="J29" s="27" t="s">
        <v>595</v>
      </c>
    </row>
    <row r="30" spans="1:10" x14ac:dyDescent="0.3">
      <c r="A30" s="19"/>
      <c r="B30" s="19" t="s">
        <v>36</v>
      </c>
      <c r="C30" s="19" t="s">
        <v>111</v>
      </c>
      <c r="D30" s="19">
        <v>3</v>
      </c>
      <c r="E30" s="24"/>
      <c r="F30" s="27"/>
      <c r="G30" s="21" t="s">
        <v>92</v>
      </c>
      <c r="H30" s="19" t="s">
        <v>179</v>
      </c>
      <c r="I30" s="19"/>
      <c r="J30" s="27"/>
    </row>
    <row r="31" spans="1:10" x14ac:dyDescent="0.3">
      <c r="A31" s="19"/>
      <c r="B31" s="19" t="s">
        <v>139</v>
      </c>
      <c r="C31" s="19" t="s">
        <v>144</v>
      </c>
      <c r="D31" s="19">
        <v>3</v>
      </c>
      <c r="E31" s="24"/>
      <c r="F31" s="27"/>
      <c r="G31" s="21" t="s">
        <v>168</v>
      </c>
      <c r="H31" s="19" t="s">
        <v>179</v>
      </c>
      <c r="I31" s="19"/>
      <c r="J31" s="27"/>
    </row>
    <row r="32" spans="1:10" x14ac:dyDescent="0.3">
      <c r="A32" s="19"/>
      <c r="B32" s="19" t="s">
        <v>39</v>
      </c>
      <c r="C32" s="19" t="s">
        <v>112</v>
      </c>
      <c r="D32" s="19">
        <v>3</v>
      </c>
      <c r="E32" s="24"/>
      <c r="F32" s="27"/>
      <c r="G32" s="21" t="s">
        <v>94</v>
      </c>
      <c r="H32" s="19" t="s">
        <v>179</v>
      </c>
      <c r="I32" s="19"/>
      <c r="J32" s="27"/>
    </row>
    <row r="33" spans="1:10" x14ac:dyDescent="0.3">
      <c r="A33" s="19"/>
      <c r="B33" s="19" t="s">
        <v>40</v>
      </c>
      <c r="C33" s="19" t="s">
        <v>113</v>
      </c>
      <c r="D33" s="19">
        <v>3</v>
      </c>
      <c r="E33" s="24"/>
      <c r="F33" s="27"/>
      <c r="G33" s="21" t="s">
        <v>94</v>
      </c>
      <c r="H33" s="19" t="s">
        <v>179</v>
      </c>
      <c r="I33" s="19"/>
      <c r="J33" s="27"/>
    </row>
    <row r="34" spans="1:10" x14ac:dyDescent="0.3">
      <c r="A34" s="19"/>
      <c r="B34" s="19" t="s">
        <v>140</v>
      </c>
      <c r="C34" s="19" t="s">
        <v>143</v>
      </c>
      <c r="D34" s="19">
        <v>3</v>
      </c>
      <c r="E34" s="24"/>
      <c r="F34" s="27"/>
      <c r="G34" s="21" t="s">
        <v>168</v>
      </c>
      <c r="H34" s="19" t="s">
        <v>179</v>
      </c>
      <c r="I34" s="19"/>
      <c r="J34" s="27"/>
    </row>
    <row r="35" spans="1:10" s="17" customFormat="1" x14ac:dyDescent="0.3">
      <c r="A35" s="57" t="s">
        <v>73</v>
      </c>
      <c r="B35" s="57"/>
      <c r="C35" s="57"/>
      <c r="D35" s="20">
        <f>SUM(D29:D34)</f>
        <v>18</v>
      </c>
      <c r="E35" s="25"/>
      <c r="F35" s="28"/>
      <c r="G35" s="22"/>
      <c r="H35" s="20"/>
      <c r="I35" s="20"/>
      <c r="J35" s="28"/>
    </row>
    <row r="36" spans="1:10" x14ac:dyDescent="0.3">
      <c r="A36" s="19"/>
      <c r="B36" s="19"/>
      <c r="C36" s="19"/>
      <c r="D36" s="19"/>
      <c r="E36" s="24" t="s">
        <v>174</v>
      </c>
      <c r="F36" s="27" t="s">
        <v>14</v>
      </c>
      <c r="G36" s="21"/>
      <c r="H36" s="19"/>
      <c r="I36" s="19"/>
      <c r="J36" s="27"/>
    </row>
    <row r="37" spans="1:10" x14ac:dyDescent="0.3">
      <c r="A37" s="19"/>
      <c r="B37" s="19" t="s">
        <v>41</v>
      </c>
      <c r="C37" s="19" t="s">
        <v>147</v>
      </c>
      <c r="D37" s="19">
        <v>3</v>
      </c>
      <c r="E37" s="24"/>
      <c r="F37" s="27"/>
      <c r="G37" s="21" t="s">
        <v>92</v>
      </c>
      <c r="H37" s="19" t="s">
        <v>179</v>
      </c>
      <c r="I37" s="19"/>
      <c r="J37" s="27" t="s">
        <v>596</v>
      </c>
    </row>
    <row r="38" spans="1:10" x14ac:dyDescent="0.3">
      <c r="A38" s="19"/>
      <c r="B38" s="19" t="s">
        <v>42</v>
      </c>
      <c r="C38" s="19" t="s">
        <v>117</v>
      </c>
      <c r="D38" s="19">
        <v>3</v>
      </c>
      <c r="E38" s="24"/>
      <c r="F38" s="27"/>
      <c r="G38" s="21" t="s">
        <v>92</v>
      </c>
      <c r="H38" s="19" t="s">
        <v>179</v>
      </c>
      <c r="I38" s="19"/>
      <c r="J38" s="27" t="s">
        <v>598</v>
      </c>
    </row>
    <row r="39" spans="1:10" x14ac:dyDescent="0.3">
      <c r="A39" s="19"/>
      <c r="B39" s="19" t="s">
        <v>45</v>
      </c>
      <c r="C39" s="19" t="s">
        <v>120</v>
      </c>
      <c r="D39" s="19">
        <v>3</v>
      </c>
      <c r="E39" s="24"/>
      <c r="F39" s="27"/>
      <c r="G39" s="21" t="s">
        <v>94</v>
      </c>
      <c r="H39" s="19" t="s">
        <v>179</v>
      </c>
      <c r="I39" s="19"/>
      <c r="J39" s="27"/>
    </row>
    <row r="40" spans="1:10" x14ac:dyDescent="0.3">
      <c r="A40" s="19"/>
      <c r="B40" s="19" t="s">
        <v>46</v>
      </c>
      <c r="C40" s="19" t="s">
        <v>121</v>
      </c>
      <c r="D40" s="19">
        <v>3</v>
      </c>
      <c r="E40" s="24"/>
      <c r="F40" s="27"/>
      <c r="G40" s="21" t="s">
        <v>94</v>
      </c>
      <c r="H40" s="19" t="s">
        <v>179</v>
      </c>
      <c r="I40" s="19"/>
      <c r="J40" s="27"/>
    </row>
    <row r="41" spans="1:10" x14ac:dyDescent="0.3">
      <c r="A41" s="19"/>
      <c r="B41" s="19" t="s">
        <v>145</v>
      </c>
      <c r="C41" s="19" t="s">
        <v>148</v>
      </c>
      <c r="D41" s="19">
        <v>3</v>
      </c>
      <c r="E41" s="24"/>
      <c r="F41" s="27"/>
      <c r="G41" s="21" t="s">
        <v>168</v>
      </c>
      <c r="H41" s="19" t="s">
        <v>179</v>
      </c>
      <c r="I41" s="19"/>
      <c r="J41" s="27"/>
    </row>
    <row r="42" spans="1:10" x14ac:dyDescent="0.3">
      <c r="A42" s="19"/>
      <c r="B42" s="19" t="s">
        <v>146</v>
      </c>
      <c r="C42" s="19" t="s">
        <v>149</v>
      </c>
      <c r="D42" s="19">
        <v>3</v>
      </c>
      <c r="E42" s="24"/>
      <c r="F42" s="27"/>
      <c r="G42" s="21" t="s">
        <v>168</v>
      </c>
      <c r="H42" s="19" t="s">
        <v>179</v>
      </c>
      <c r="I42" s="19"/>
      <c r="J42" s="27"/>
    </row>
    <row r="43" spans="1:10" s="17" customFormat="1" x14ac:dyDescent="0.3">
      <c r="A43" s="57" t="s">
        <v>73</v>
      </c>
      <c r="B43" s="57"/>
      <c r="C43" s="57"/>
      <c r="D43" s="20">
        <f>SUM(D37:D42)</f>
        <v>18</v>
      </c>
      <c r="E43" s="25"/>
      <c r="F43" s="28"/>
      <c r="G43" s="22"/>
      <c r="H43" s="20"/>
      <c r="I43" s="20"/>
      <c r="J43" s="28"/>
    </row>
    <row r="44" spans="1:10" x14ac:dyDescent="0.3">
      <c r="A44" s="19"/>
      <c r="B44" s="19"/>
      <c r="C44" s="19"/>
      <c r="D44" s="19"/>
      <c r="E44" s="24"/>
      <c r="F44" s="27" t="s">
        <v>81</v>
      </c>
      <c r="G44" s="21"/>
      <c r="H44" s="19"/>
      <c r="I44" s="19"/>
      <c r="J44" s="27"/>
    </row>
    <row r="45" spans="1:10" x14ac:dyDescent="0.3">
      <c r="A45" s="19"/>
      <c r="B45" s="19" t="s">
        <v>48</v>
      </c>
      <c r="C45" s="19" t="s">
        <v>175</v>
      </c>
      <c r="D45" s="19">
        <v>3</v>
      </c>
      <c r="E45" s="24"/>
      <c r="F45" s="27"/>
      <c r="G45" s="21" t="s">
        <v>92</v>
      </c>
      <c r="H45" s="19" t="s">
        <v>179</v>
      </c>
      <c r="I45" s="19"/>
      <c r="J45" s="27" t="s">
        <v>600</v>
      </c>
    </row>
    <row r="46" spans="1:10" x14ac:dyDescent="0.3">
      <c r="A46" s="19"/>
      <c r="B46" s="19" t="s">
        <v>151</v>
      </c>
      <c r="C46" s="19" t="s">
        <v>154</v>
      </c>
      <c r="D46" s="19">
        <v>3</v>
      </c>
      <c r="E46" s="24"/>
      <c r="F46" s="27"/>
      <c r="G46" s="21" t="s">
        <v>92</v>
      </c>
      <c r="H46" s="19" t="s">
        <v>179</v>
      </c>
      <c r="I46" s="19"/>
      <c r="J46" s="27"/>
    </row>
    <row r="47" spans="1:10" x14ac:dyDescent="0.3">
      <c r="A47" s="19"/>
      <c r="B47" s="19" t="s">
        <v>49</v>
      </c>
      <c r="C47" s="19" t="s">
        <v>157</v>
      </c>
      <c r="D47" s="19">
        <v>3</v>
      </c>
      <c r="E47" s="24"/>
      <c r="F47" s="27"/>
      <c r="G47" s="21" t="s">
        <v>92</v>
      </c>
      <c r="H47" s="19" t="s">
        <v>179</v>
      </c>
      <c r="I47" s="19"/>
      <c r="J47" s="27" t="s">
        <v>597</v>
      </c>
    </row>
    <row r="48" spans="1:10" x14ac:dyDescent="0.3">
      <c r="A48" s="19"/>
      <c r="B48" s="19" t="s">
        <v>51</v>
      </c>
      <c r="C48" s="19" t="s">
        <v>176</v>
      </c>
      <c r="D48" s="19">
        <v>3</v>
      </c>
      <c r="E48" s="24"/>
      <c r="F48" s="27"/>
      <c r="G48" s="21" t="s">
        <v>94</v>
      </c>
      <c r="H48" s="19" t="s">
        <v>179</v>
      </c>
      <c r="I48" s="19"/>
      <c r="J48" s="27"/>
    </row>
    <row r="49" spans="1:10" x14ac:dyDescent="0.3">
      <c r="A49" s="19"/>
      <c r="B49" s="19" t="s">
        <v>152</v>
      </c>
      <c r="C49" s="19" t="s">
        <v>155</v>
      </c>
      <c r="D49" s="19">
        <v>3</v>
      </c>
      <c r="E49" s="24"/>
      <c r="F49" s="27"/>
      <c r="G49" s="21" t="s">
        <v>168</v>
      </c>
      <c r="H49" s="19" t="s">
        <v>179</v>
      </c>
      <c r="I49" s="19"/>
      <c r="J49" s="27"/>
    </row>
    <row r="50" spans="1:10" x14ac:dyDescent="0.3">
      <c r="A50" s="19"/>
      <c r="B50" s="19" t="s">
        <v>153</v>
      </c>
      <c r="C50" s="19" t="s">
        <v>156</v>
      </c>
      <c r="D50" s="19">
        <v>3</v>
      </c>
      <c r="E50" s="24"/>
      <c r="F50" s="27"/>
      <c r="G50" s="21" t="s">
        <v>168</v>
      </c>
      <c r="H50" s="19" t="s">
        <v>179</v>
      </c>
      <c r="I50" s="19"/>
      <c r="J50" s="27"/>
    </row>
    <row r="51" spans="1:10" s="17" customFormat="1" x14ac:dyDescent="0.3">
      <c r="A51" s="57" t="s">
        <v>73</v>
      </c>
      <c r="B51" s="57"/>
      <c r="C51" s="57"/>
      <c r="D51" s="20">
        <f>SUM(D45:D50)</f>
        <v>18</v>
      </c>
      <c r="E51" s="25"/>
      <c r="F51" s="28"/>
      <c r="G51" s="22"/>
      <c r="H51" s="20"/>
      <c r="I51" s="20"/>
      <c r="J51" s="28"/>
    </row>
    <row r="52" spans="1:10" x14ac:dyDescent="0.3">
      <c r="A52" s="19"/>
      <c r="B52" s="19"/>
      <c r="C52" s="19"/>
      <c r="D52" s="19"/>
      <c r="E52" s="24"/>
      <c r="F52" s="27" t="s">
        <v>85</v>
      </c>
      <c r="G52" s="21"/>
      <c r="H52" s="19"/>
      <c r="I52" s="19"/>
      <c r="J52" s="27"/>
    </row>
    <row r="53" spans="1:10" x14ac:dyDescent="0.3">
      <c r="A53" s="19"/>
      <c r="B53" s="19" t="s">
        <v>53</v>
      </c>
      <c r="C53" s="19" t="s">
        <v>126</v>
      </c>
      <c r="D53" s="19">
        <v>6</v>
      </c>
      <c r="E53" s="24"/>
      <c r="F53" s="27"/>
      <c r="G53" s="21" t="s">
        <v>92</v>
      </c>
      <c r="H53" s="19" t="s">
        <v>179</v>
      </c>
      <c r="I53" s="19"/>
      <c r="J53" s="27" t="s">
        <v>599</v>
      </c>
    </row>
    <row r="54" spans="1:10" s="17" customFormat="1" x14ac:dyDescent="0.3">
      <c r="A54" s="57" t="s">
        <v>73</v>
      </c>
      <c r="B54" s="57"/>
      <c r="C54" s="57"/>
      <c r="D54" s="20">
        <f>SUM(D53)</f>
        <v>6</v>
      </c>
      <c r="E54" s="25"/>
      <c r="F54" s="28"/>
      <c r="G54" s="22"/>
      <c r="H54" s="20"/>
      <c r="I54" s="20"/>
      <c r="J54" s="28"/>
    </row>
    <row r="55" spans="1:10" x14ac:dyDescent="0.3">
      <c r="A55" s="19"/>
      <c r="B55" s="19"/>
      <c r="C55" s="19"/>
      <c r="D55" s="19"/>
      <c r="E55" s="24" t="s">
        <v>86</v>
      </c>
      <c r="F55" s="27" t="s">
        <v>14</v>
      </c>
      <c r="G55" s="21"/>
      <c r="H55" s="19"/>
      <c r="I55" s="19"/>
      <c r="J55" s="27"/>
    </row>
    <row r="56" spans="1:10" x14ac:dyDescent="0.3">
      <c r="A56" s="19"/>
      <c r="B56" s="19" t="s">
        <v>54</v>
      </c>
      <c r="C56" s="19" t="s">
        <v>80</v>
      </c>
      <c r="D56" s="19">
        <v>3</v>
      </c>
      <c r="E56" s="24"/>
      <c r="F56" s="27"/>
      <c r="G56" s="21" t="s">
        <v>92</v>
      </c>
      <c r="H56" s="19" t="s">
        <v>179</v>
      </c>
      <c r="I56" s="19"/>
      <c r="J56" s="27" t="s">
        <v>591</v>
      </c>
    </row>
    <row r="57" spans="1:10" x14ac:dyDescent="0.3">
      <c r="A57" s="19"/>
      <c r="B57" s="19" t="s">
        <v>55</v>
      </c>
      <c r="C57" s="19" t="s">
        <v>79</v>
      </c>
      <c r="D57" s="19">
        <v>3</v>
      </c>
      <c r="E57" s="24"/>
      <c r="F57" s="27"/>
      <c r="G57" s="21" t="s">
        <v>92</v>
      </c>
      <c r="H57" s="19" t="s">
        <v>179</v>
      </c>
      <c r="I57" s="19"/>
      <c r="J57" s="27" t="s">
        <v>591</v>
      </c>
    </row>
    <row r="58" spans="1:10" x14ac:dyDescent="0.3">
      <c r="A58" s="19"/>
      <c r="B58" s="19" t="s">
        <v>57</v>
      </c>
      <c r="C58" s="19" t="s">
        <v>77</v>
      </c>
      <c r="D58" s="19">
        <v>3</v>
      </c>
      <c r="E58" s="24"/>
      <c r="F58" s="27"/>
      <c r="G58" s="21" t="s">
        <v>94</v>
      </c>
      <c r="H58" s="19" t="s">
        <v>179</v>
      </c>
      <c r="I58" s="19"/>
      <c r="J58" s="27"/>
    </row>
    <row r="59" spans="1:10" x14ac:dyDescent="0.3">
      <c r="A59" s="19"/>
      <c r="B59" s="19" t="s">
        <v>160</v>
      </c>
      <c r="C59" s="19" t="s">
        <v>162</v>
      </c>
      <c r="D59" s="19">
        <v>3</v>
      </c>
      <c r="E59" s="24"/>
      <c r="F59" s="27"/>
      <c r="G59" s="21" t="s">
        <v>168</v>
      </c>
      <c r="H59" s="19" t="s">
        <v>179</v>
      </c>
      <c r="I59" s="19"/>
      <c r="J59" s="27"/>
    </row>
    <row r="60" spans="1:10" x14ac:dyDescent="0.3">
      <c r="A60" s="19"/>
      <c r="B60" s="19" t="s">
        <v>161</v>
      </c>
      <c r="C60" s="19" t="s">
        <v>163</v>
      </c>
      <c r="D60" s="19">
        <v>3</v>
      </c>
      <c r="E60" s="24"/>
      <c r="F60" s="27"/>
      <c r="G60" s="21" t="s">
        <v>168</v>
      </c>
      <c r="H60" s="19" t="s">
        <v>179</v>
      </c>
      <c r="I60" s="19"/>
      <c r="J60" s="27"/>
    </row>
    <row r="61" spans="1:10" x14ac:dyDescent="0.3">
      <c r="A61" s="19"/>
      <c r="B61" s="19" t="s">
        <v>60</v>
      </c>
      <c r="C61" s="19" t="s">
        <v>177</v>
      </c>
      <c r="D61" s="19">
        <v>2</v>
      </c>
      <c r="E61" s="24"/>
      <c r="F61" s="27"/>
      <c r="G61" s="21" t="s">
        <v>102</v>
      </c>
      <c r="H61" s="19" t="s">
        <v>179</v>
      </c>
      <c r="I61" s="19"/>
      <c r="J61" s="27"/>
    </row>
    <row r="62" spans="1:10" x14ac:dyDescent="0.3">
      <c r="A62" s="19"/>
      <c r="B62" s="19" t="s">
        <v>61</v>
      </c>
      <c r="C62" s="19" t="s">
        <v>72</v>
      </c>
      <c r="D62" s="19">
        <v>2</v>
      </c>
      <c r="E62" s="24"/>
      <c r="F62" s="27"/>
      <c r="G62" s="21" t="s">
        <v>92</v>
      </c>
      <c r="H62" s="19" t="s">
        <v>179</v>
      </c>
      <c r="I62" s="19"/>
      <c r="J62" s="27" t="s">
        <v>591</v>
      </c>
    </row>
    <row r="63" spans="1:10" s="17" customFormat="1" x14ac:dyDescent="0.3">
      <c r="A63" s="57" t="s">
        <v>73</v>
      </c>
      <c r="B63" s="57"/>
      <c r="C63" s="57"/>
      <c r="D63" s="20">
        <f>SUM(D56:D62)</f>
        <v>19</v>
      </c>
      <c r="E63" s="25"/>
      <c r="F63" s="28"/>
      <c r="G63" s="22"/>
      <c r="H63" s="20"/>
      <c r="I63" s="20"/>
      <c r="J63" s="28"/>
    </row>
    <row r="64" spans="1:10" x14ac:dyDescent="0.3">
      <c r="A64" s="19"/>
      <c r="B64" s="19"/>
      <c r="C64" s="19"/>
      <c r="D64" s="19"/>
      <c r="E64" s="24"/>
      <c r="F64" s="27" t="s">
        <v>81</v>
      </c>
      <c r="G64" s="21"/>
      <c r="H64" s="19"/>
      <c r="I64" s="19"/>
      <c r="J64" s="27"/>
    </row>
    <row r="65" spans="1:10" x14ac:dyDescent="0.3">
      <c r="A65" s="19"/>
      <c r="B65" s="19" t="s">
        <v>52</v>
      </c>
      <c r="C65" s="19" t="s">
        <v>178</v>
      </c>
      <c r="D65" s="19">
        <v>3</v>
      </c>
      <c r="E65" s="24"/>
      <c r="F65" s="27"/>
      <c r="G65" s="21" t="s">
        <v>92</v>
      </c>
      <c r="H65" s="19" t="s">
        <v>179</v>
      </c>
      <c r="I65" s="19"/>
      <c r="J65" s="27"/>
    </row>
    <row r="66" spans="1:10" x14ac:dyDescent="0.3">
      <c r="A66" s="19"/>
      <c r="B66" s="19" t="s">
        <v>62</v>
      </c>
      <c r="C66" s="19" t="s">
        <v>71</v>
      </c>
      <c r="D66" s="19">
        <v>3</v>
      </c>
      <c r="E66" s="24"/>
      <c r="F66" s="27"/>
      <c r="G66" s="21" t="s">
        <v>92</v>
      </c>
      <c r="H66" s="19" t="s">
        <v>179</v>
      </c>
      <c r="I66" s="19"/>
      <c r="J66" s="27" t="s">
        <v>591</v>
      </c>
    </row>
    <row r="67" spans="1:10" x14ac:dyDescent="0.3">
      <c r="A67" s="19"/>
      <c r="B67" s="19" t="s">
        <v>65</v>
      </c>
      <c r="C67" s="19" t="s">
        <v>68</v>
      </c>
      <c r="D67" s="19">
        <v>3</v>
      </c>
      <c r="E67" s="24"/>
      <c r="F67" s="27"/>
      <c r="G67" s="21" t="s">
        <v>94</v>
      </c>
      <c r="H67" s="19" t="s">
        <v>179</v>
      </c>
      <c r="I67" s="19"/>
      <c r="J67" s="27"/>
    </row>
    <row r="68" spans="1:10" x14ac:dyDescent="0.3">
      <c r="A68" s="19"/>
      <c r="B68" s="19" t="s">
        <v>66</v>
      </c>
      <c r="C68" s="19" t="s">
        <v>67</v>
      </c>
      <c r="D68" s="19">
        <v>3</v>
      </c>
      <c r="E68" s="24"/>
      <c r="F68" s="27"/>
      <c r="G68" s="21" t="s">
        <v>94</v>
      </c>
      <c r="H68" s="19" t="s">
        <v>179</v>
      </c>
      <c r="I68" s="19"/>
      <c r="J68" s="27"/>
    </row>
    <row r="69" spans="1:10" x14ac:dyDescent="0.3">
      <c r="A69" s="19"/>
      <c r="B69" s="19" t="s">
        <v>164</v>
      </c>
      <c r="C69" s="19" t="s">
        <v>165</v>
      </c>
      <c r="D69" s="19">
        <v>3</v>
      </c>
      <c r="E69" s="24"/>
      <c r="F69" s="27"/>
      <c r="G69" s="21" t="s">
        <v>168</v>
      </c>
      <c r="H69" s="19" t="s">
        <v>179</v>
      </c>
      <c r="I69" s="19"/>
      <c r="J69" s="27"/>
    </row>
    <row r="70" spans="1:10" x14ac:dyDescent="0.3">
      <c r="A70" s="19"/>
      <c r="B70" s="19" t="s">
        <v>37</v>
      </c>
      <c r="C70" s="19" t="s">
        <v>166</v>
      </c>
      <c r="D70" s="19">
        <v>3</v>
      </c>
      <c r="E70" s="24"/>
      <c r="F70" s="27"/>
      <c r="G70" s="21" t="s">
        <v>102</v>
      </c>
      <c r="H70" s="19" t="s">
        <v>179</v>
      </c>
      <c r="I70" s="19"/>
      <c r="J70" s="27"/>
    </row>
    <row r="71" spans="1:10" s="17" customFormat="1" x14ac:dyDescent="0.3">
      <c r="A71" s="57" t="s">
        <v>73</v>
      </c>
      <c r="B71" s="57"/>
      <c r="C71" s="57"/>
      <c r="D71" s="20">
        <f>SUM(D65:D70)</f>
        <v>18</v>
      </c>
      <c r="E71" s="25"/>
      <c r="F71" s="28"/>
      <c r="G71" s="22"/>
      <c r="H71" s="20"/>
      <c r="I71" s="20"/>
      <c r="J71" s="28"/>
    </row>
    <row r="73" spans="1:10" x14ac:dyDescent="0.3">
      <c r="A73" t="s">
        <v>603</v>
      </c>
    </row>
    <row r="74" spans="1:10" x14ac:dyDescent="0.3">
      <c r="A74" t="s">
        <v>608</v>
      </c>
      <c r="B74">
        <f>SUMIF(G3:G70,G61,D3:D70)</f>
        <v>11</v>
      </c>
    </row>
    <row r="75" spans="1:10" x14ac:dyDescent="0.3">
      <c r="A75" t="s">
        <v>609</v>
      </c>
      <c r="B75">
        <f>SUMIF(G3:G71,G58,D3:D71)</f>
        <v>40</v>
      </c>
    </row>
    <row r="76" spans="1:10" x14ac:dyDescent="0.3">
      <c r="A76" t="s">
        <v>168</v>
      </c>
      <c r="B76">
        <f ca="1">SUMIF(G3:G71,G69,D3:D70)</f>
        <v>45</v>
      </c>
    </row>
    <row r="77" spans="1:10" x14ac:dyDescent="0.3">
      <c r="A77" t="s">
        <v>92</v>
      </c>
      <c r="B77">
        <f>SUMIF(G2:G71,G65,D2:D71)</f>
        <v>54</v>
      </c>
    </row>
    <row r="78" spans="1:10" x14ac:dyDescent="0.3">
      <c r="A78" t="s">
        <v>610</v>
      </c>
      <c r="B78">
        <f ca="1">SUM(B74:B77)</f>
        <v>150</v>
      </c>
    </row>
    <row r="81" spans="1:2" x14ac:dyDescent="0.3">
      <c r="A81" t="s">
        <v>604</v>
      </c>
    </row>
    <row r="82" spans="1:2" x14ac:dyDescent="0.3">
      <c r="A82" t="s">
        <v>605</v>
      </c>
      <c r="B82" t="s">
        <v>606</v>
      </c>
    </row>
    <row r="83" spans="1:2" x14ac:dyDescent="0.3">
      <c r="A83" t="s">
        <v>607</v>
      </c>
      <c r="B83" t="s">
        <v>606</v>
      </c>
    </row>
  </sheetData>
  <mergeCells count="9">
    <mergeCell ref="A54:C54"/>
    <mergeCell ref="A63:C63"/>
    <mergeCell ref="A71:C71"/>
    <mergeCell ref="A9:C9"/>
    <mergeCell ref="A19:C19"/>
    <mergeCell ref="A27:C27"/>
    <mergeCell ref="A35:C35"/>
    <mergeCell ref="A43:C43"/>
    <mergeCell ref="A51:C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opLeftCell="A67" zoomScale="98" zoomScaleNormal="98" workbookViewId="0">
      <selection activeCell="A73" sqref="A73:B83"/>
    </sheetView>
  </sheetViews>
  <sheetFormatPr defaultRowHeight="14.4" x14ac:dyDescent="0.3"/>
  <cols>
    <col min="2" max="2" width="12.109375" bestFit="1" customWidth="1"/>
    <col min="3" max="3" width="51.5546875" bestFit="1" customWidth="1"/>
    <col min="4" max="4" width="20.33203125" bestFit="1" customWidth="1"/>
    <col min="5" max="5" width="10.33203125" style="1" bestFit="1" customWidth="1"/>
    <col min="6" max="6" width="14.88671875" style="2" bestFit="1" customWidth="1"/>
    <col min="7" max="7" width="35.6640625" style="3" bestFit="1" customWidth="1"/>
    <col min="8" max="8" width="39.109375" bestFit="1" customWidth="1"/>
    <col min="9" max="9" width="5.6640625" bestFit="1" customWidth="1"/>
    <col min="10" max="10" width="158.88671875" style="32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1" t="s">
        <v>7</v>
      </c>
      <c r="I1" s="11" t="s">
        <v>8</v>
      </c>
      <c r="J1" s="13" t="s">
        <v>9</v>
      </c>
    </row>
    <row r="2" spans="1:10" x14ac:dyDescent="0.3">
      <c r="A2" s="11" t="s">
        <v>180</v>
      </c>
      <c r="B2" s="11" t="s">
        <v>10</v>
      </c>
      <c r="C2" s="11" t="s">
        <v>11</v>
      </c>
      <c r="D2" s="11" t="s">
        <v>12</v>
      </c>
      <c r="E2" s="12" t="s">
        <v>13</v>
      </c>
      <c r="F2" s="13" t="s">
        <v>14</v>
      </c>
      <c r="G2" s="14"/>
      <c r="H2" s="11"/>
      <c r="I2" s="11"/>
      <c r="J2" s="13"/>
    </row>
    <row r="3" spans="1:10" x14ac:dyDescent="0.3">
      <c r="A3" s="19"/>
      <c r="B3" s="19" t="s">
        <v>16</v>
      </c>
      <c r="C3" s="19" t="s">
        <v>87</v>
      </c>
      <c r="D3" s="19">
        <v>3</v>
      </c>
      <c r="E3" s="24"/>
      <c r="F3" s="27"/>
      <c r="G3" s="21" t="s">
        <v>92</v>
      </c>
      <c r="H3" s="19" t="s">
        <v>179</v>
      </c>
      <c r="I3" s="19"/>
      <c r="J3" s="27"/>
    </row>
    <row r="4" spans="1:10" x14ac:dyDescent="0.3">
      <c r="A4" s="19"/>
      <c r="B4" s="19" t="s">
        <v>29</v>
      </c>
      <c r="C4" s="19" t="s">
        <v>89</v>
      </c>
      <c r="D4" s="19">
        <v>2</v>
      </c>
      <c r="E4" s="24"/>
      <c r="F4" s="27"/>
      <c r="G4" s="21" t="s">
        <v>92</v>
      </c>
      <c r="H4" s="19" t="s">
        <v>179</v>
      </c>
      <c r="I4" s="19"/>
      <c r="J4" s="27"/>
    </row>
    <row r="5" spans="1:10" x14ac:dyDescent="0.3">
      <c r="A5" s="19"/>
      <c r="B5" s="19" t="s">
        <v>17</v>
      </c>
      <c r="C5" s="19" t="s">
        <v>88</v>
      </c>
      <c r="D5" s="19">
        <v>3</v>
      </c>
      <c r="E5" s="24"/>
      <c r="F5" s="27"/>
      <c r="G5" s="21" t="s">
        <v>102</v>
      </c>
      <c r="H5" s="19" t="s">
        <v>179</v>
      </c>
      <c r="I5" s="19"/>
      <c r="J5" s="27"/>
    </row>
    <row r="6" spans="1:10" x14ac:dyDescent="0.3">
      <c r="A6" s="19"/>
      <c r="B6" s="19" t="s">
        <v>20</v>
      </c>
      <c r="C6" s="19" t="s">
        <v>91</v>
      </c>
      <c r="D6" s="19">
        <v>3</v>
      </c>
      <c r="E6" s="24"/>
      <c r="F6" s="27"/>
      <c r="G6" s="21" t="s">
        <v>94</v>
      </c>
      <c r="H6" s="19" t="s">
        <v>179</v>
      </c>
      <c r="I6" s="19"/>
      <c r="J6" s="27"/>
    </row>
    <row r="7" spans="1:10" x14ac:dyDescent="0.3">
      <c r="A7" s="19"/>
      <c r="B7" s="19" t="s">
        <v>21</v>
      </c>
      <c r="C7" s="19" t="s">
        <v>90</v>
      </c>
      <c r="D7" s="19">
        <v>3</v>
      </c>
      <c r="E7" s="24"/>
      <c r="F7" s="27"/>
      <c r="G7" s="21" t="s">
        <v>94</v>
      </c>
      <c r="H7" s="19" t="s">
        <v>179</v>
      </c>
      <c r="I7" s="19"/>
      <c r="J7" s="27"/>
    </row>
    <row r="8" spans="1:10" x14ac:dyDescent="0.3">
      <c r="A8" s="19"/>
      <c r="B8" s="19" t="s">
        <v>181</v>
      </c>
      <c r="C8" s="19" t="s">
        <v>182</v>
      </c>
      <c r="D8" s="19">
        <v>3</v>
      </c>
      <c r="E8" s="24"/>
      <c r="F8" s="27"/>
      <c r="G8" s="21" t="s">
        <v>213</v>
      </c>
      <c r="H8" s="19" t="s">
        <v>179</v>
      </c>
      <c r="I8" s="19"/>
      <c r="J8" s="27"/>
    </row>
    <row r="9" spans="1:10" s="17" customFormat="1" x14ac:dyDescent="0.3">
      <c r="A9" s="57" t="s">
        <v>73</v>
      </c>
      <c r="B9" s="57"/>
      <c r="C9" s="57"/>
      <c r="D9" s="30">
        <f>SUM(D3:D8)</f>
        <v>17</v>
      </c>
      <c r="E9" s="25"/>
      <c r="F9" s="28"/>
      <c r="G9" s="22"/>
      <c r="H9" s="30"/>
      <c r="I9" s="30"/>
      <c r="J9" s="28"/>
    </row>
    <row r="10" spans="1:10" x14ac:dyDescent="0.3">
      <c r="A10" s="19"/>
      <c r="B10" s="19"/>
      <c r="C10" s="19"/>
      <c r="D10" s="19"/>
      <c r="E10" s="24"/>
      <c r="F10" s="27" t="s">
        <v>81</v>
      </c>
      <c r="G10" s="21"/>
      <c r="H10" s="19"/>
      <c r="I10" s="19"/>
      <c r="J10" s="27"/>
    </row>
    <row r="11" spans="1:10" x14ac:dyDescent="0.3">
      <c r="A11" s="19"/>
      <c r="B11" s="19" t="s">
        <v>22</v>
      </c>
      <c r="C11" s="19" t="s">
        <v>95</v>
      </c>
      <c r="D11" s="19">
        <v>2</v>
      </c>
      <c r="E11" s="24"/>
      <c r="F11" s="27"/>
      <c r="G11" s="21" t="s">
        <v>92</v>
      </c>
      <c r="H11" s="19" t="s">
        <v>179</v>
      </c>
      <c r="I11" s="19"/>
      <c r="J11" s="27"/>
    </row>
    <row r="12" spans="1:10" x14ac:dyDescent="0.3">
      <c r="A12" s="19"/>
      <c r="B12" s="19" t="s">
        <v>23</v>
      </c>
      <c r="C12" s="19" t="s">
        <v>96</v>
      </c>
      <c r="D12" s="19">
        <v>2</v>
      </c>
      <c r="E12" s="24"/>
      <c r="F12" s="27"/>
      <c r="G12" s="21" t="s">
        <v>92</v>
      </c>
      <c r="H12" s="19" t="s">
        <v>179</v>
      </c>
      <c r="I12" s="19"/>
      <c r="J12" s="27" t="s">
        <v>592</v>
      </c>
    </row>
    <row r="13" spans="1:10" x14ac:dyDescent="0.3">
      <c r="A13" s="19"/>
      <c r="B13" s="19" t="s">
        <v>25</v>
      </c>
      <c r="C13" s="19" t="s">
        <v>171</v>
      </c>
      <c r="D13" s="19">
        <v>2</v>
      </c>
      <c r="E13" s="24"/>
      <c r="F13" s="27"/>
      <c r="G13" s="21" t="s">
        <v>102</v>
      </c>
      <c r="H13" s="19" t="s">
        <v>179</v>
      </c>
      <c r="I13" s="19"/>
      <c r="J13" s="27"/>
    </row>
    <row r="14" spans="1:10" x14ac:dyDescent="0.3">
      <c r="A14" s="19"/>
      <c r="B14" s="19" t="s">
        <v>28</v>
      </c>
      <c r="C14" s="19" t="s">
        <v>100</v>
      </c>
      <c r="D14" s="19">
        <v>3</v>
      </c>
      <c r="E14" s="24"/>
      <c r="F14" s="27"/>
      <c r="G14" s="21" t="s">
        <v>94</v>
      </c>
      <c r="H14" s="19" t="s">
        <v>179</v>
      </c>
      <c r="I14" s="19"/>
      <c r="J14" s="27"/>
    </row>
    <row r="15" spans="1:10" x14ac:dyDescent="0.3">
      <c r="A15" s="19"/>
      <c r="B15" s="19" t="s">
        <v>183</v>
      </c>
      <c r="C15" s="19" t="s">
        <v>185</v>
      </c>
      <c r="D15" s="19">
        <v>3</v>
      </c>
      <c r="E15" s="24"/>
      <c r="F15" s="27"/>
      <c r="G15" s="21" t="s">
        <v>213</v>
      </c>
      <c r="H15" s="19" t="s">
        <v>179</v>
      </c>
      <c r="I15" s="19"/>
      <c r="J15" s="27"/>
    </row>
    <row r="16" spans="1:10" x14ac:dyDescent="0.3">
      <c r="A16" s="19"/>
      <c r="B16" s="19" t="s">
        <v>184</v>
      </c>
      <c r="C16" s="19" t="s">
        <v>186</v>
      </c>
      <c r="D16" s="19">
        <v>3</v>
      </c>
      <c r="E16" s="24"/>
      <c r="F16" s="27"/>
      <c r="G16" s="21" t="s">
        <v>213</v>
      </c>
      <c r="H16" s="19" t="s">
        <v>179</v>
      </c>
      <c r="I16" s="19"/>
      <c r="J16" s="27"/>
    </row>
    <row r="17" spans="1:10" x14ac:dyDescent="0.3">
      <c r="A17" s="19"/>
      <c r="B17" s="19" t="s">
        <v>35</v>
      </c>
      <c r="C17" s="19" t="s">
        <v>110</v>
      </c>
      <c r="D17" s="19">
        <v>3</v>
      </c>
      <c r="E17" s="24"/>
      <c r="F17" s="27"/>
      <c r="G17" s="21" t="s">
        <v>92</v>
      </c>
      <c r="H17" s="19" t="s">
        <v>179</v>
      </c>
      <c r="I17" s="19"/>
      <c r="J17" s="27" t="s">
        <v>595</v>
      </c>
    </row>
    <row r="18" spans="1:10" s="17" customFormat="1" x14ac:dyDescent="0.3">
      <c r="A18" s="57" t="s">
        <v>73</v>
      </c>
      <c r="B18" s="57"/>
      <c r="C18" s="57"/>
      <c r="D18" s="30">
        <f>SUM(D11:D17)</f>
        <v>18</v>
      </c>
      <c r="E18" s="25"/>
      <c r="F18" s="28"/>
      <c r="G18" s="22"/>
      <c r="H18" s="30"/>
      <c r="I18" s="30"/>
      <c r="J18" s="28"/>
    </row>
    <row r="19" spans="1:10" x14ac:dyDescent="0.3">
      <c r="A19" s="19"/>
      <c r="B19" s="19"/>
      <c r="C19" s="19"/>
      <c r="D19" s="19"/>
      <c r="E19" s="24" t="s">
        <v>136</v>
      </c>
      <c r="F19" s="27" t="s">
        <v>14</v>
      </c>
      <c r="G19" s="21"/>
      <c r="H19" s="19"/>
      <c r="I19" s="19"/>
      <c r="J19" s="27"/>
    </row>
    <row r="20" spans="1:10" x14ac:dyDescent="0.3">
      <c r="A20" s="19"/>
      <c r="B20" s="19" t="s">
        <v>30</v>
      </c>
      <c r="C20" s="19" t="s">
        <v>103</v>
      </c>
      <c r="D20" s="19">
        <v>3</v>
      </c>
      <c r="E20" s="24"/>
      <c r="F20" s="27"/>
      <c r="G20" s="21" t="s">
        <v>92</v>
      </c>
      <c r="H20" s="19" t="s">
        <v>179</v>
      </c>
      <c r="I20" s="19"/>
      <c r="J20" s="27" t="s">
        <v>594</v>
      </c>
    </row>
    <row r="21" spans="1:10" x14ac:dyDescent="0.3">
      <c r="A21" s="19"/>
      <c r="B21" s="19" t="s">
        <v>31</v>
      </c>
      <c r="C21" s="19" t="s">
        <v>104</v>
      </c>
      <c r="D21" s="19">
        <v>3</v>
      </c>
      <c r="E21" s="24"/>
      <c r="F21" s="27"/>
      <c r="G21" s="21" t="s">
        <v>92</v>
      </c>
      <c r="H21" s="19" t="s">
        <v>179</v>
      </c>
      <c r="I21" s="19"/>
      <c r="J21" s="27"/>
    </row>
    <row r="22" spans="1:10" x14ac:dyDescent="0.3">
      <c r="A22" s="19"/>
      <c r="B22" s="19" t="s">
        <v>58</v>
      </c>
      <c r="C22" s="19" t="s">
        <v>173</v>
      </c>
      <c r="D22" s="19">
        <v>2</v>
      </c>
      <c r="E22" s="24"/>
      <c r="F22" s="27"/>
      <c r="G22" s="21" t="s">
        <v>92</v>
      </c>
      <c r="H22" s="19" t="s">
        <v>179</v>
      </c>
      <c r="I22" s="19"/>
      <c r="J22" s="27"/>
    </row>
    <row r="23" spans="1:10" x14ac:dyDescent="0.3">
      <c r="A23" s="19"/>
      <c r="B23" s="19" t="s">
        <v>33</v>
      </c>
      <c r="C23" s="19" t="s">
        <v>108</v>
      </c>
      <c r="D23" s="19">
        <v>3</v>
      </c>
      <c r="E23" s="24"/>
      <c r="F23" s="27"/>
      <c r="G23" s="21" t="s">
        <v>94</v>
      </c>
      <c r="H23" s="19" t="s">
        <v>179</v>
      </c>
      <c r="I23" s="19"/>
      <c r="J23" s="27"/>
    </row>
    <row r="24" spans="1:10" x14ac:dyDescent="0.3">
      <c r="A24" s="19"/>
      <c r="B24" s="19" t="s">
        <v>34</v>
      </c>
      <c r="C24" s="19" t="s">
        <v>109</v>
      </c>
      <c r="D24" s="19">
        <v>3</v>
      </c>
      <c r="E24" s="24"/>
      <c r="F24" s="27"/>
      <c r="G24" s="21" t="s">
        <v>94</v>
      </c>
      <c r="H24" s="19" t="s">
        <v>179</v>
      </c>
      <c r="I24" s="19"/>
      <c r="J24" s="27"/>
    </row>
    <row r="25" spans="1:10" x14ac:dyDescent="0.3">
      <c r="A25" s="19"/>
      <c r="B25" s="19" t="s">
        <v>187</v>
      </c>
      <c r="C25" s="19" t="s">
        <v>188</v>
      </c>
      <c r="D25" s="19">
        <v>3</v>
      </c>
      <c r="E25" s="24"/>
      <c r="F25" s="27"/>
      <c r="G25" s="21" t="s">
        <v>213</v>
      </c>
      <c r="H25" s="19" t="s">
        <v>179</v>
      </c>
      <c r="I25" s="19"/>
      <c r="J25" s="27"/>
    </row>
    <row r="26" spans="1:10" s="17" customFormat="1" x14ac:dyDescent="0.3">
      <c r="A26" s="57" t="s">
        <v>73</v>
      </c>
      <c r="B26" s="57"/>
      <c r="C26" s="57"/>
      <c r="D26" s="30">
        <f>SUM(D20:D25)</f>
        <v>17</v>
      </c>
      <c r="E26" s="25"/>
      <c r="F26" s="28"/>
      <c r="G26" s="22"/>
      <c r="H26" s="30"/>
      <c r="I26" s="30"/>
      <c r="J26" s="28"/>
    </row>
    <row r="27" spans="1:10" x14ac:dyDescent="0.3">
      <c r="A27" s="19"/>
      <c r="B27" s="19"/>
      <c r="C27" s="19"/>
      <c r="D27" s="19"/>
      <c r="E27" s="24"/>
      <c r="F27" s="27" t="s">
        <v>81</v>
      </c>
      <c r="G27" s="21"/>
      <c r="H27" s="19"/>
      <c r="I27" s="19"/>
      <c r="J27" s="27"/>
    </row>
    <row r="28" spans="1:10" x14ac:dyDescent="0.3">
      <c r="A28" s="19"/>
      <c r="B28" s="19" t="s">
        <v>36</v>
      </c>
      <c r="C28" s="19" t="s">
        <v>111</v>
      </c>
      <c r="D28" s="19">
        <v>3</v>
      </c>
      <c r="E28" s="24"/>
      <c r="F28" s="27"/>
      <c r="G28" s="21" t="s">
        <v>92</v>
      </c>
      <c r="H28" s="19" t="s">
        <v>179</v>
      </c>
      <c r="I28" s="19"/>
      <c r="J28" s="27"/>
    </row>
    <row r="29" spans="1:10" x14ac:dyDescent="0.3">
      <c r="A29" s="19"/>
      <c r="B29" s="19" t="s">
        <v>189</v>
      </c>
      <c r="C29" s="19" t="s">
        <v>192</v>
      </c>
      <c r="D29" s="19">
        <v>3</v>
      </c>
      <c r="E29" s="24"/>
      <c r="F29" s="27"/>
      <c r="G29" s="21" t="s">
        <v>213</v>
      </c>
      <c r="H29" s="19" t="s">
        <v>179</v>
      </c>
      <c r="I29" s="19"/>
      <c r="J29" s="27"/>
    </row>
    <row r="30" spans="1:10" x14ac:dyDescent="0.3">
      <c r="A30" s="19"/>
      <c r="B30" s="19" t="s">
        <v>39</v>
      </c>
      <c r="C30" s="19" t="s">
        <v>112</v>
      </c>
      <c r="D30" s="19">
        <v>3</v>
      </c>
      <c r="E30" s="24"/>
      <c r="F30" s="27"/>
      <c r="G30" s="21" t="s">
        <v>94</v>
      </c>
      <c r="H30" s="19" t="s">
        <v>179</v>
      </c>
      <c r="I30" s="19"/>
      <c r="J30" s="27"/>
    </row>
    <row r="31" spans="1:10" x14ac:dyDescent="0.3">
      <c r="A31" s="19"/>
      <c r="B31" s="19" t="s">
        <v>40</v>
      </c>
      <c r="C31" s="19" t="s">
        <v>113</v>
      </c>
      <c r="D31" s="19">
        <v>3</v>
      </c>
      <c r="E31" s="24"/>
      <c r="F31" s="27"/>
      <c r="G31" s="21" t="s">
        <v>94</v>
      </c>
      <c r="H31" s="19" t="s">
        <v>179</v>
      </c>
      <c r="I31" s="19"/>
      <c r="J31" s="27"/>
    </row>
    <row r="32" spans="1:10" x14ac:dyDescent="0.3">
      <c r="A32" s="19"/>
      <c r="B32" s="19" t="s">
        <v>190</v>
      </c>
      <c r="C32" s="19" t="s">
        <v>193</v>
      </c>
      <c r="D32" s="19">
        <v>3</v>
      </c>
      <c r="E32" s="24"/>
      <c r="F32" s="27"/>
      <c r="G32" s="21" t="s">
        <v>213</v>
      </c>
      <c r="H32" s="19" t="s">
        <v>179</v>
      </c>
      <c r="I32" s="19"/>
      <c r="J32" s="27"/>
    </row>
    <row r="33" spans="1:10" x14ac:dyDescent="0.3">
      <c r="A33" s="19"/>
      <c r="B33" s="19" t="s">
        <v>191</v>
      </c>
      <c r="C33" s="19" t="s">
        <v>194</v>
      </c>
      <c r="D33" s="19">
        <v>3</v>
      </c>
      <c r="E33" s="24"/>
      <c r="F33" s="27"/>
      <c r="G33" s="21" t="s">
        <v>213</v>
      </c>
      <c r="H33" s="19" t="s">
        <v>179</v>
      </c>
      <c r="I33" s="19"/>
      <c r="J33" s="27"/>
    </row>
    <row r="34" spans="1:10" s="17" customFormat="1" x14ac:dyDescent="0.3">
      <c r="A34" s="57" t="s">
        <v>73</v>
      </c>
      <c r="B34" s="57"/>
      <c r="C34" s="57"/>
      <c r="D34" s="30">
        <f>SUM(D28:D33)</f>
        <v>18</v>
      </c>
      <c r="E34" s="25"/>
      <c r="F34" s="28"/>
      <c r="G34" s="22"/>
      <c r="H34" s="30"/>
      <c r="I34" s="30"/>
      <c r="J34" s="28"/>
    </row>
    <row r="35" spans="1:10" x14ac:dyDescent="0.3">
      <c r="A35" s="19"/>
      <c r="B35" s="19"/>
      <c r="C35" s="19"/>
      <c r="D35" s="19"/>
      <c r="E35" s="24" t="s">
        <v>84</v>
      </c>
      <c r="F35" s="27" t="s">
        <v>14</v>
      </c>
      <c r="G35" s="21"/>
      <c r="H35" s="19"/>
      <c r="I35" s="19"/>
      <c r="J35" s="27"/>
    </row>
    <row r="36" spans="1:10" x14ac:dyDescent="0.3">
      <c r="A36" s="19"/>
      <c r="B36" s="19" t="s">
        <v>41</v>
      </c>
      <c r="C36" s="19" t="s">
        <v>147</v>
      </c>
      <c r="D36" s="19">
        <v>3</v>
      </c>
      <c r="E36" s="24"/>
      <c r="F36" s="27"/>
      <c r="G36" s="21" t="s">
        <v>92</v>
      </c>
      <c r="H36" s="19" t="s">
        <v>179</v>
      </c>
      <c r="I36" s="19"/>
      <c r="J36" s="27" t="s">
        <v>596</v>
      </c>
    </row>
    <row r="37" spans="1:10" x14ac:dyDescent="0.3">
      <c r="A37" s="19"/>
      <c r="B37" s="19" t="s">
        <v>42</v>
      </c>
      <c r="C37" s="19" t="s">
        <v>117</v>
      </c>
      <c r="D37" s="19">
        <v>3</v>
      </c>
      <c r="E37" s="24"/>
      <c r="F37" s="27"/>
      <c r="G37" s="21" t="s">
        <v>92</v>
      </c>
      <c r="H37" s="19" t="s">
        <v>179</v>
      </c>
      <c r="I37" s="19"/>
      <c r="J37" s="27" t="s">
        <v>598</v>
      </c>
    </row>
    <row r="38" spans="1:10" x14ac:dyDescent="0.3">
      <c r="A38" s="19"/>
      <c r="B38" s="19" t="s">
        <v>195</v>
      </c>
      <c r="C38" s="19" t="s">
        <v>197</v>
      </c>
      <c r="D38" s="19">
        <v>3</v>
      </c>
      <c r="E38" s="24"/>
      <c r="F38" s="27"/>
      <c r="G38" s="21" t="s">
        <v>213</v>
      </c>
      <c r="H38" s="19" t="s">
        <v>179</v>
      </c>
      <c r="I38" s="19"/>
      <c r="J38" s="27"/>
    </row>
    <row r="39" spans="1:10" x14ac:dyDescent="0.3">
      <c r="A39" s="19"/>
      <c r="B39" s="19" t="s">
        <v>45</v>
      </c>
      <c r="C39" s="19" t="s">
        <v>120</v>
      </c>
      <c r="D39" s="19">
        <v>3</v>
      </c>
      <c r="E39" s="24"/>
      <c r="F39" s="27"/>
      <c r="G39" s="21" t="s">
        <v>94</v>
      </c>
      <c r="H39" s="19" t="s">
        <v>179</v>
      </c>
      <c r="I39" s="19"/>
      <c r="J39" s="27"/>
    </row>
    <row r="40" spans="1:10" x14ac:dyDescent="0.3">
      <c r="A40" s="19"/>
      <c r="B40" s="19" t="s">
        <v>46</v>
      </c>
      <c r="C40" s="19" t="s">
        <v>121</v>
      </c>
      <c r="D40" s="19">
        <v>3</v>
      </c>
      <c r="E40" s="24"/>
      <c r="F40" s="27"/>
      <c r="G40" s="21" t="s">
        <v>94</v>
      </c>
      <c r="H40" s="19" t="s">
        <v>179</v>
      </c>
      <c r="I40" s="19"/>
      <c r="J40" s="27"/>
    </row>
    <row r="41" spans="1:10" x14ac:dyDescent="0.3">
      <c r="A41" s="19"/>
      <c r="B41" s="19" t="s">
        <v>196</v>
      </c>
      <c r="C41" s="19" t="s">
        <v>198</v>
      </c>
      <c r="D41" s="19">
        <v>3</v>
      </c>
      <c r="E41" s="24"/>
      <c r="F41" s="27"/>
      <c r="G41" s="21" t="s">
        <v>213</v>
      </c>
      <c r="H41" s="19" t="s">
        <v>179</v>
      </c>
      <c r="I41" s="19"/>
      <c r="J41" s="27"/>
    </row>
    <row r="42" spans="1:10" s="17" customFormat="1" x14ac:dyDescent="0.3">
      <c r="A42" s="57" t="s">
        <v>73</v>
      </c>
      <c r="B42" s="57"/>
      <c r="C42" s="57"/>
      <c r="D42" s="30">
        <f>SUM(D36:D41)</f>
        <v>18</v>
      </c>
      <c r="E42" s="25"/>
      <c r="F42" s="28"/>
      <c r="G42" s="22"/>
      <c r="H42" s="30"/>
      <c r="I42" s="30"/>
      <c r="J42" s="28"/>
    </row>
    <row r="43" spans="1:10" x14ac:dyDescent="0.3">
      <c r="A43" s="19"/>
      <c r="B43" s="19"/>
      <c r="C43" s="19"/>
      <c r="D43" s="19"/>
      <c r="E43" s="24"/>
      <c r="F43" s="27" t="s">
        <v>81</v>
      </c>
      <c r="G43" s="21"/>
      <c r="H43" s="19"/>
      <c r="I43" s="19"/>
      <c r="J43" s="27"/>
    </row>
    <row r="44" spans="1:10" x14ac:dyDescent="0.3">
      <c r="A44" s="19"/>
      <c r="B44" s="19" t="s">
        <v>199</v>
      </c>
      <c r="C44" s="19" t="s">
        <v>201</v>
      </c>
      <c r="D44" s="19">
        <v>3</v>
      </c>
      <c r="E44" s="24"/>
      <c r="F44" s="27"/>
      <c r="G44" s="21" t="s">
        <v>92</v>
      </c>
      <c r="H44" s="19" t="s">
        <v>179</v>
      </c>
      <c r="I44" s="19"/>
      <c r="J44" s="27" t="s">
        <v>600</v>
      </c>
    </row>
    <row r="45" spans="1:10" x14ac:dyDescent="0.3">
      <c r="A45" s="19"/>
      <c r="B45" s="19" t="s">
        <v>48</v>
      </c>
      <c r="C45" s="19" t="s">
        <v>123</v>
      </c>
      <c r="D45" s="19">
        <v>3</v>
      </c>
      <c r="E45" s="24"/>
      <c r="F45" s="27"/>
      <c r="G45" s="21" t="s">
        <v>92</v>
      </c>
      <c r="H45" s="19" t="s">
        <v>179</v>
      </c>
      <c r="I45" s="19"/>
      <c r="J45" s="27" t="s">
        <v>600</v>
      </c>
    </row>
    <row r="46" spans="1:10" x14ac:dyDescent="0.3">
      <c r="A46" s="19"/>
      <c r="B46" s="19" t="s">
        <v>49</v>
      </c>
      <c r="C46" s="19" t="s">
        <v>124</v>
      </c>
      <c r="D46" s="19">
        <v>3</v>
      </c>
      <c r="E46" s="24"/>
      <c r="F46" s="27"/>
      <c r="G46" s="21" t="s">
        <v>92</v>
      </c>
      <c r="H46" s="19" t="s">
        <v>179</v>
      </c>
      <c r="I46" s="19"/>
      <c r="J46" s="27" t="s">
        <v>597</v>
      </c>
    </row>
    <row r="47" spans="1:10" x14ac:dyDescent="0.3">
      <c r="A47" s="19"/>
      <c r="B47" s="19" t="s">
        <v>51</v>
      </c>
      <c r="C47" s="19" t="s">
        <v>176</v>
      </c>
      <c r="D47" s="19">
        <v>3</v>
      </c>
      <c r="E47" s="24"/>
      <c r="F47" s="27"/>
      <c r="G47" s="21" t="s">
        <v>94</v>
      </c>
      <c r="H47" s="19" t="s">
        <v>179</v>
      </c>
      <c r="I47" s="19"/>
      <c r="J47" s="27"/>
    </row>
    <row r="48" spans="1:10" x14ac:dyDescent="0.3">
      <c r="A48" s="19"/>
      <c r="B48" s="19" t="s">
        <v>52</v>
      </c>
      <c r="C48" s="19" t="s">
        <v>178</v>
      </c>
      <c r="D48" s="19">
        <v>3</v>
      </c>
      <c r="E48" s="24"/>
      <c r="F48" s="27"/>
      <c r="G48" s="21" t="s">
        <v>94</v>
      </c>
      <c r="H48" s="19" t="s">
        <v>179</v>
      </c>
      <c r="I48" s="19"/>
      <c r="J48" s="27"/>
    </row>
    <row r="49" spans="1:10" x14ac:dyDescent="0.3">
      <c r="A49" s="19"/>
      <c r="B49" s="19" t="s">
        <v>200</v>
      </c>
      <c r="C49" s="19" t="s">
        <v>202</v>
      </c>
      <c r="D49" s="19">
        <v>3</v>
      </c>
      <c r="E49" s="24"/>
      <c r="F49" s="27"/>
      <c r="G49" s="21" t="s">
        <v>213</v>
      </c>
      <c r="H49" s="19" t="s">
        <v>179</v>
      </c>
      <c r="I49" s="19"/>
      <c r="J49" s="27"/>
    </row>
    <row r="50" spans="1:10" s="17" customFormat="1" x14ac:dyDescent="0.3">
      <c r="A50" s="57" t="s">
        <v>73</v>
      </c>
      <c r="B50" s="57"/>
      <c r="C50" s="57"/>
      <c r="D50" s="30">
        <f>SUM(D44:D49)</f>
        <v>18</v>
      </c>
      <c r="E50" s="25"/>
      <c r="F50" s="28"/>
      <c r="G50" s="22"/>
      <c r="H50" s="30"/>
      <c r="I50" s="30"/>
      <c r="J50" s="28"/>
    </row>
    <row r="51" spans="1:10" x14ac:dyDescent="0.3">
      <c r="A51" s="19"/>
      <c r="B51" s="19"/>
      <c r="C51" s="19"/>
      <c r="D51" s="19"/>
      <c r="E51" s="24"/>
      <c r="F51" s="27" t="s">
        <v>85</v>
      </c>
      <c r="G51" s="21"/>
      <c r="H51" s="19"/>
      <c r="I51" s="19"/>
      <c r="J51" s="27"/>
    </row>
    <row r="52" spans="1:10" x14ac:dyDescent="0.3">
      <c r="A52" s="19"/>
      <c r="B52" s="19" t="s">
        <v>53</v>
      </c>
      <c r="C52" s="19" t="s">
        <v>126</v>
      </c>
      <c r="D52" s="19">
        <v>6</v>
      </c>
      <c r="E52" s="24"/>
      <c r="F52" s="27"/>
      <c r="G52" s="21" t="s">
        <v>92</v>
      </c>
      <c r="H52" s="19" t="s">
        <v>179</v>
      </c>
      <c r="I52" s="19"/>
      <c r="J52" s="27" t="s">
        <v>599</v>
      </c>
    </row>
    <row r="53" spans="1:10" s="17" customFormat="1" x14ac:dyDescent="0.3">
      <c r="A53" s="57" t="s">
        <v>73</v>
      </c>
      <c r="B53" s="57"/>
      <c r="C53" s="57"/>
      <c r="D53" s="30">
        <f>SUM(D52)</f>
        <v>6</v>
      </c>
      <c r="E53" s="25"/>
      <c r="F53" s="28"/>
      <c r="G53" s="22"/>
      <c r="H53" s="30"/>
      <c r="I53" s="30"/>
      <c r="J53" s="28"/>
    </row>
    <row r="54" spans="1:10" x14ac:dyDescent="0.3">
      <c r="A54" s="5"/>
      <c r="B54" s="5"/>
      <c r="C54" s="5"/>
    </row>
    <row r="55" spans="1:10" x14ac:dyDescent="0.3">
      <c r="E55" s="1" t="s">
        <v>86</v>
      </c>
      <c r="F55" s="2" t="s">
        <v>159</v>
      </c>
    </row>
    <row r="56" spans="1:10" x14ac:dyDescent="0.3">
      <c r="A56" s="19"/>
      <c r="B56" s="19" t="s">
        <v>54</v>
      </c>
      <c r="C56" s="19" t="s">
        <v>80</v>
      </c>
      <c r="D56" s="19">
        <v>3</v>
      </c>
      <c r="E56" s="24"/>
      <c r="F56" s="27"/>
      <c r="G56" s="21" t="s">
        <v>92</v>
      </c>
      <c r="H56" s="19" t="s">
        <v>179</v>
      </c>
      <c r="J56" s="32" t="s">
        <v>591</v>
      </c>
    </row>
    <row r="57" spans="1:10" x14ac:dyDescent="0.3">
      <c r="A57" s="19"/>
      <c r="B57" s="19" t="s">
        <v>55</v>
      </c>
      <c r="C57" s="19" t="s">
        <v>79</v>
      </c>
      <c r="D57" s="19">
        <v>3</v>
      </c>
      <c r="E57" s="24"/>
      <c r="F57" s="27"/>
      <c r="G57" s="21" t="s">
        <v>92</v>
      </c>
      <c r="H57" s="19" t="s">
        <v>179</v>
      </c>
      <c r="J57" s="32" t="s">
        <v>591</v>
      </c>
    </row>
    <row r="58" spans="1:10" x14ac:dyDescent="0.3">
      <c r="A58" s="19"/>
      <c r="B58" s="19" t="s">
        <v>57</v>
      </c>
      <c r="C58" s="19" t="s">
        <v>77</v>
      </c>
      <c r="D58" s="19">
        <v>3</v>
      </c>
      <c r="E58" s="24"/>
      <c r="F58" s="27"/>
      <c r="G58" s="21" t="s">
        <v>94</v>
      </c>
      <c r="H58" s="19" t="s">
        <v>179</v>
      </c>
    </row>
    <row r="59" spans="1:10" x14ac:dyDescent="0.3">
      <c r="A59" s="19"/>
      <c r="B59" s="19" t="s">
        <v>203</v>
      </c>
      <c r="C59" s="19" t="s">
        <v>206</v>
      </c>
      <c r="D59" s="19">
        <v>3</v>
      </c>
      <c r="E59" s="24"/>
      <c r="F59" s="27"/>
      <c r="G59" s="21" t="s">
        <v>213</v>
      </c>
      <c r="H59" s="19" t="s">
        <v>179</v>
      </c>
    </row>
    <row r="60" spans="1:10" x14ac:dyDescent="0.3">
      <c r="A60" s="19"/>
      <c r="B60" s="19" t="s">
        <v>204</v>
      </c>
      <c r="C60" s="19" t="s">
        <v>207</v>
      </c>
      <c r="D60" s="19">
        <v>3</v>
      </c>
      <c r="E60" s="24"/>
      <c r="F60" s="27"/>
      <c r="G60" s="21" t="s">
        <v>213</v>
      </c>
      <c r="H60" s="19" t="s">
        <v>179</v>
      </c>
    </row>
    <row r="61" spans="1:10" x14ac:dyDescent="0.3">
      <c r="A61" s="19"/>
      <c r="B61" s="19" t="s">
        <v>205</v>
      </c>
      <c r="C61" s="19" t="s">
        <v>208</v>
      </c>
      <c r="D61" s="19">
        <v>3</v>
      </c>
      <c r="E61" s="24"/>
      <c r="F61" s="27"/>
      <c r="G61" s="21" t="s">
        <v>213</v>
      </c>
      <c r="H61" s="19" t="s">
        <v>179</v>
      </c>
    </row>
    <row r="62" spans="1:10" s="17" customFormat="1" x14ac:dyDescent="0.3">
      <c r="A62" s="57" t="s">
        <v>73</v>
      </c>
      <c r="B62" s="57"/>
      <c r="C62" s="57"/>
      <c r="D62" s="30">
        <f>SUM(D56:D61)</f>
        <v>18</v>
      </c>
      <c r="E62" s="25"/>
      <c r="F62" s="28"/>
      <c r="G62" s="22"/>
      <c r="H62" s="30"/>
      <c r="J62" s="39"/>
    </row>
    <row r="63" spans="1:10" x14ac:dyDescent="0.3">
      <c r="A63" s="19"/>
      <c r="B63" s="19"/>
      <c r="C63" s="19"/>
      <c r="D63" s="19"/>
      <c r="E63" s="24"/>
      <c r="F63" s="27" t="s">
        <v>81</v>
      </c>
      <c r="G63" s="21"/>
      <c r="H63" s="19"/>
    </row>
    <row r="64" spans="1:10" x14ac:dyDescent="0.3">
      <c r="A64" s="19"/>
      <c r="B64" s="19" t="s">
        <v>61</v>
      </c>
      <c r="C64" s="19" t="s">
        <v>72</v>
      </c>
      <c r="D64" s="19">
        <v>2</v>
      </c>
      <c r="E64" s="24"/>
      <c r="F64" s="27"/>
      <c r="G64" s="21" t="s">
        <v>92</v>
      </c>
      <c r="H64" s="19" t="s">
        <v>179</v>
      </c>
      <c r="J64" s="32" t="s">
        <v>591</v>
      </c>
    </row>
    <row r="65" spans="1:10" x14ac:dyDescent="0.3">
      <c r="A65" s="19"/>
      <c r="B65" s="19" t="s">
        <v>62</v>
      </c>
      <c r="C65" s="19" t="s">
        <v>71</v>
      </c>
      <c r="D65" s="19">
        <v>3</v>
      </c>
      <c r="E65" s="24"/>
      <c r="F65" s="27"/>
      <c r="G65" s="21" t="s">
        <v>92</v>
      </c>
      <c r="H65" s="19" t="s">
        <v>179</v>
      </c>
      <c r="J65" s="32" t="s">
        <v>591</v>
      </c>
    </row>
    <row r="66" spans="1:10" x14ac:dyDescent="0.3">
      <c r="A66" s="19"/>
      <c r="B66" s="19" t="s">
        <v>65</v>
      </c>
      <c r="C66" s="19" t="s">
        <v>68</v>
      </c>
      <c r="D66" s="19">
        <v>3</v>
      </c>
      <c r="E66" s="24"/>
      <c r="F66" s="27"/>
      <c r="G66" s="21" t="s">
        <v>94</v>
      </c>
      <c r="H66" s="19" t="s">
        <v>179</v>
      </c>
    </row>
    <row r="67" spans="1:10" x14ac:dyDescent="0.3">
      <c r="A67" s="19"/>
      <c r="B67" s="19" t="s">
        <v>66</v>
      </c>
      <c r="C67" s="19" t="s">
        <v>67</v>
      </c>
      <c r="D67" s="19">
        <v>3</v>
      </c>
      <c r="E67" s="24"/>
      <c r="F67" s="27"/>
      <c r="G67" s="21" t="s">
        <v>94</v>
      </c>
      <c r="H67" s="19" t="s">
        <v>179</v>
      </c>
    </row>
    <row r="68" spans="1:10" x14ac:dyDescent="0.3">
      <c r="A68" s="19"/>
      <c r="B68" s="19" t="s">
        <v>209</v>
      </c>
      <c r="C68" s="19" t="s">
        <v>211</v>
      </c>
      <c r="D68" s="19">
        <v>3</v>
      </c>
      <c r="E68" s="24"/>
      <c r="F68" s="27"/>
      <c r="G68" s="21" t="s">
        <v>213</v>
      </c>
      <c r="H68" s="19" t="s">
        <v>179</v>
      </c>
    </row>
    <row r="69" spans="1:10" x14ac:dyDescent="0.3">
      <c r="A69" s="19"/>
      <c r="B69" s="19" t="s">
        <v>210</v>
      </c>
      <c r="C69" s="19" t="s">
        <v>212</v>
      </c>
      <c r="D69" s="19">
        <v>3</v>
      </c>
      <c r="E69" s="24"/>
      <c r="F69" s="27"/>
      <c r="G69" s="21" t="s">
        <v>213</v>
      </c>
      <c r="H69" s="19" t="s">
        <v>179</v>
      </c>
    </row>
    <row r="70" spans="1:10" x14ac:dyDescent="0.3">
      <c r="A70" s="19"/>
      <c r="B70" s="19" t="s">
        <v>24</v>
      </c>
      <c r="C70" s="19" t="s">
        <v>142</v>
      </c>
      <c r="D70" s="19">
        <v>1</v>
      </c>
      <c r="E70" s="24"/>
      <c r="F70" s="27"/>
      <c r="G70" s="21" t="s">
        <v>102</v>
      </c>
      <c r="H70" s="19" t="s">
        <v>179</v>
      </c>
    </row>
    <row r="71" spans="1:10" s="17" customFormat="1" x14ac:dyDescent="0.3">
      <c r="A71" s="55" t="s">
        <v>73</v>
      </c>
      <c r="B71" s="55"/>
      <c r="C71" s="55"/>
      <c r="D71" s="30">
        <f>SUM(D64:D70)</f>
        <v>18</v>
      </c>
      <c r="E71" s="25"/>
      <c r="F71" s="28"/>
      <c r="G71" s="22"/>
      <c r="H71" s="30"/>
      <c r="J71" s="39"/>
    </row>
    <row r="73" spans="1:10" x14ac:dyDescent="0.3">
      <c r="A73" t="s">
        <v>603</v>
      </c>
    </row>
    <row r="74" spans="1:10" x14ac:dyDescent="0.3">
      <c r="A74" t="s">
        <v>608</v>
      </c>
      <c r="B74">
        <f>SUMIF(G3:G71,G70,D3:D71)</f>
        <v>6</v>
      </c>
    </row>
    <row r="75" spans="1:10" x14ac:dyDescent="0.3">
      <c r="A75" t="s">
        <v>613</v>
      </c>
      <c r="B75">
        <f>SUMIF(G3:G71,G68,D3:D71)</f>
        <v>45</v>
      </c>
    </row>
    <row r="76" spans="1:10" x14ac:dyDescent="0.3">
      <c r="A76" t="s">
        <v>614</v>
      </c>
      <c r="B76">
        <f ca="1">SUMIF(G3:G71,G67,D3:D70)</f>
        <v>42</v>
      </c>
    </row>
    <row r="77" spans="1:10" x14ac:dyDescent="0.3">
      <c r="A77" t="s">
        <v>92</v>
      </c>
      <c r="B77">
        <f>SUMIF(G2:G71,G65,D2:D71)</f>
        <v>55</v>
      </c>
    </row>
    <row r="78" spans="1:10" x14ac:dyDescent="0.3">
      <c r="A78" t="s">
        <v>610</v>
      </c>
      <c r="B78">
        <f ca="1">SUM(B74:B77)</f>
        <v>148</v>
      </c>
    </row>
    <row r="81" spans="1:2" x14ac:dyDescent="0.3">
      <c r="A81" t="s">
        <v>604</v>
      </c>
    </row>
    <row r="82" spans="1:2" x14ac:dyDescent="0.3">
      <c r="A82" t="s">
        <v>605</v>
      </c>
      <c r="B82" t="s">
        <v>606</v>
      </c>
    </row>
    <row r="83" spans="1:2" x14ac:dyDescent="0.3">
      <c r="A83" t="s">
        <v>607</v>
      </c>
      <c r="B83" t="s">
        <v>606</v>
      </c>
    </row>
  </sheetData>
  <mergeCells count="9">
    <mergeCell ref="A62:C62"/>
    <mergeCell ref="A71:C71"/>
    <mergeCell ref="A53:C53"/>
    <mergeCell ref="A9:C9"/>
    <mergeCell ref="A18:C18"/>
    <mergeCell ref="A26:C26"/>
    <mergeCell ref="A34:C34"/>
    <mergeCell ref="A42:C42"/>
    <mergeCell ref="A50:C5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topLeftCell="A64" workbookViewId="0">
      <selection activeCell="A74" sqref="A74:B84"/>
    </sheetView>
  </sheetViews>
  <sheetFormatPr defaultRowHeight="14.4" x14ac:dyDescent="0.3"/>
  <cols>
    <col min="2" max="2" width="12.109375" bestFit="1" customWidth="1"/>
    <col min="3" max="3" width="51.5546875" bestFit="1" customWidth="1"/>
    <col min="4" max="4" width="20.33203125" bestFit="1" customWidth="1"/>
    <col min="5" max="5" width="10.33203125" style="1" bestFit="1" customWidth="1"/>
    <col min="6" max="6" width="14.88671875" style="2" bestFit="1" customWidth="1"/>
    <col min="7" max="7" width="35.6640625" style="33" bestFit="1" customWidth="1"/>
    <col min="8" max="8" width="39.109375" bestFit="1" customWidth="1"/>
    <col min="9" max="9" width="5.6640625" bestFit="1" customWidth="1"/>
    <col min="10" max="10" width="158.88671875" style="43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1" t="s">
        <v>7</v>
      </c>
      <c r="I1" s="11" t="s">
        <v>8</v>
      </c>
      <c r="J1" s="40" t="s">
        <v>9</v>
      </c>
    </row>
    <row r="2" spans="1:10" x14ac:dyDescent="0.3">
      <c r="A2" s="11" t="s">
        <v>214</v>
      </c>
      <c r="B2" s="11" t="s">
        <v>10</v>
      </c>
      <c r="C2" s="11" t="s">
        <v>11</v>
      </c>
      <c r="D2" s="11" t="s">
        <v>12</v>
      </c>
      <c r="E2" s="12" t="s">
        <v>13</v>
      </c>
      <c r="F2" s="13" t="s">
        <v>14</v>
      </c>
      <c r="G2" s="14"/>
      <c r="H2" s="11"/>
      <c r="I2" s="11"/>
      <c r="J2" s="40"/>
    </row>
    <row r="3" spans="1:10" x14ac:dyDescent="0.3">
      <c r="A3" s="19"/>
      <c r="B3" s="19" t="s">
        <v>16</v>
      </c>
      <c r="C3" s="19" t="s">
        <v>87</v>
      </c>
      <c r="D3" s="19">
        <v>3</v>
      </c>
      <c r="E3" s="24"/>
      <c r="F3" s="27"/>
      <c r="G3" s="21" t="s">
        <v>92</v>
      </c>
      <c r="H3" s="19" t="s">
        <v>179</v>
      </c>
      <c r="I3" s="19"/>
      <c r="J3" s="41"/>
    </row>
    <row r="4" spans="1:10" x14ac:dyDescent="0.3">
      <c r="A4" s="19"/>
      <c r="B4" s="19" t="s">
        <v>29</v>
      </c>
      <c r="C4" s="19" t="s">
        <v>89</v>
      </c>
      <c r="D4" s="19">
        <v>2</v>
      </c>
      <c r="E4" s="24"/>
      <c r="F4" s="27"/>
      <c r="G4" s="21" t="s">
        <v>92</v>
      </c>
      <c r="H4" s="19" t="s">
        <v>179</v>
      </c>
      <c r="I4" s="19"/>
      <c r="J4" s="41"/>
    </row>
    <row r="5" spans="1:10" x14ac:dyDescent="0.3">
      <c r="A5" s="19"/>
      <c r="B5" s="19" t="s">
        <v>17</v>
      </c>
      <c r="C5" s="19" t="s">
        <v>88</v>
      </c>
      <c r="D5" s="19">
        <v>3</v>
      </c>
      <c r="E5" s="24"/>
      <c r="F5" s="27"/>
      <c r="G5" s="21" t="s">
        <v>102</v>
      </c>
      <c r="H5" s="19" t="s">
        <v>179</v>
      </c>
      <c r="I5" s="19"/>
      <c r="J5" s="41"/>
    </row>
    <row r="6" spans="1:10" x14ac:dyDescent="0.3">
      <c r="A6" s="19"/>
      <c r="B6" s="19" t="s">
        <v>18</v>
      </c>
      <c r="C6" s="19" t="s">
        <v>89</v>
      </c>
      <c r="D6" s="19">
        <v>3</v>
      </c>
      <c r="E6" s="24"/>
      <c r="F6" s="27"/>
      <c r="G6" s="33" t="s">
        <v>93</v>
      </c>
      <c r="H6" s="19" t="s">
        <v>179</v>
      </c>
      <c r="I6" s="19"/>
      <c r="J6" s="41"/>
    </row>
    <row r="7" spans="1:10" x14ac:dyDescent="0.3">
      <c r="A7" s="19"/>
      <c r="B7" s="19" t="s">
        <v>19</v>
      </c>
      <c r="C7" s="19" t="s">
        <v>107</v>
      </c>
      <c r="D7" s="19">
        <v>3</v>
      </c>
      <c r="E7" s="24"/>
      <c r="F7" s="27"/>
      <c r="G7" s="33" t="s">
        <v>93</v>
      </c>
      <c r="H7" s="19" t="s">
        <v>179</v>
      </c>
      <c r="I7" s="19"/>
      <c r="J7" s="41"/>
    </row>
    <row r="8" spans="1:10" x14ac:dyDescent="0.3">
      <c r="A8" s="19"/>
      <c r="B8" s="19" t="s">
        <v>181</v>
      </c>
      <c r="C8" s="19" t="s">
        <v>182</v>
      </c>
      <c r="D8" s="19">
        <v>3</v>
      </c>
      <c r="E8" s="24"/>
      <c r="F8" s="27"/>
      <c r="G8" s="21" t="s">
        <v>213</v>
      </c>
      <c r="H8" s="19" t="s">
        <v>179</v>
      </c>
      <c r="I8" s="19"/>
      <c r="J8" s="41"/>
    </row>
    <row r="9" spans="1:10" x14ac:dyDescent="0.3">
      <c r="A9" s="19"/>
      <c r="B9" s="19" t="s">
        <v>24</v>
      </c>
      <c r="C9" s="19" t="s">
        <v>170</v>
      </c>
      <c r="D9" s="19">
        <v>1</v>
      </c>
      <c r="E9" s="24"/>
      <c r="F9" s="27"/>
      <c r="G9" s="21" t="s">
        <v>102</v>
      </c>
      <c r="H9" s="19" t="s">
        <v>179</v>
      </c>
      <c r="I9" s="19"/>
      <c r="J9" s="41"/>
    </row>
    <row r="10" spans="1:10" s="17" customFormat="1" x14ac:dyDescent="0.3">
      <c r="A10" s="57" t="s">
        <v>73</v>
      </c>
      <c r="B10" s="57"/>
      <c r="C10" s="57"/>
      <c r="D10" s="30">
        <f>SUM(D3:D9)</f>
        <v>18</v>
      </c>
      <c r="E10" s="25"/>
      <c r="F10" s="28"/>
      <c r="G10" s="22"/>
      <c r="H10" s="30"/>
      <c r="I10" s="30"/>
      <c r="J10" s="42"/>
    </row>
    <row r="11" spans="1:10" x14ac:dyDescent="0.3">
      <c r="A11" s="19"/>
      <c r="B11" s="19"/>
      <c r="C11" s="19"/>
      <c r="D11" s="19"/>
      <c r="E11" s="24"/>
      <c r="F11" s="27" t="s">
        <v>81</v>
      </c>
      <c r="G11" s="21"/>
      <c r="H11" s="19"/>
      <c r="I11" s="19"/>
      <c r="J11" s="41"/>
    </row>
    <row r="12" spans="1:10" x14ac:dyDescent="0.3">
      <c r="A12" s="19"/>
      <c r="B12" s="19" t="s">
        <v>22</v>
      </c>
      <c r="C12" s="19" t="s">
        <v>95</v>
      </c>
      <c r="D12" s="19">
        <v>2</v>
      </c>
      <c r="E12" s="24"/>
      <c r="F12" s="27"/>
      <c r="G12" s="21" t="s">
        <v>92</v>
      </c>
      <c r="H12" s="19" t="s">
        <v>179</v>
      </c>
      <c r="I12" s="19"/>
      <c r="J12" s="41"/>
    </row>
    <row r="13" spans="1:10" x14ac:dyDescent="0.3">
      <c r="A13" s="19"/>
      <c r="B13" s="19" t="s">
        <v>23</v>
      </c>
      <c r="C13" s="19" t="s">
        <v>96</v>
      </c>
      <c r="D13" s="19">
        <v>2</v>
      </c>
      <c r="E13" s="24"/>
      <c r="F13" s="27"/>
      <c r="G13" s="21" t="s">
        <v>92</v>
      </c>
      <c r="H13" s="19" t="s">
        <v>179</v>
      </c>
      <c r="I13" s="19"/>
      <c r="J13" s="41" t="s">
        <v>592</v>
      </c>
    </row>
    <row r="14" spans="1:10" x14ac:dyDescent="0.3">
      <c r="A14" s="19"/>
      <c r="B14" s="19" t="s">
        <v>25</v>
      </c>
      <c r="C14" s="19" t="s">
        <v>171</v>
      </c>
      <c r="D14" s="19">
        <v>2</v>
      </c>
      <c r="E14" s="24"/>
      <c r="F14" s="27"/>
      <c r="G14" s="21" t="s">
        <v>102</v>
      </c>
      <c r="H14" s="19" t="s">
        <v>179</v>
      </c>
      <c r="I14" s="19"/>
      <c r="J14" s="41"/>
    </row>
    <row r="15" spans="1:10" x14ac:dyDescent="0.3">
      <c r="A15" s="19"/>
      <c r="B15" s="19" t="s">
        <v>26</v>
      </c>
      <c r="C15" s="19" t="s">
        <v>106</v>
      </c>
      <c r="D15" s="19">
        <v>3</v>
      </c>
      <c r="E15" s="24"/>
      <c r="F15" s="27"/>
      <c r="G15" s="33" t="s">
        <v>93</v>
      </c>
      <c r="H15" s="19" t="s">
        <v>179</v>
      </c>
      <c r="I15" s="19"/>
      <c r="J15" s="41"/>
    </row>
    <row r="16" spans="1:10" x14ac:dyDescent="0.3">
      <c r="A16" s="19"/>
      <c r="B16" s="19" t="s">
        <v>27</v>
      </c>
      <c r="C16" s="19" t="s">
        <v>99</v>
      </c>
      <c r="D16" s="19">
        <v>3</v>
      </c>
      <c r="E16" s="24"/>
      <c r="F16" s="27"/>
      <c r="G16" s="33" t="s">
        <v>93</v>
      </c>
      <c r="H16" s="19" t="s">
        <v>179</v>
      </c>
      <c r="I16" s="19"/>
      <c r="J16" s="41"/>
    </row>
    <row r="17" spans="1:10" x14ac:dyDescent="0.3">
      <c r="A17" s="19"/>
      <c r="B17" s="19" t="s">
        <v>183</v>
      </c>
      <c r="C17" s="19" t="s">
        <v>185</v>
      </c>
      <c r="D17" s="19">
        <v>3</v>
      </c>
      <c r="E17" s="24"/>
      <c r="F17" s="27"/>
      <c r="G17" s="21" t="s">
        <v>213</v>
      </c>
      <c r="H17" s="19" t="s">
        <v>179</v>
      </c>
      <c r="I17" s="19"/>
      <c r="J17" s="41"/>
    </row>
    <row r="18" spans="1:10" x14ac:dyDescent="0.3">
      <c r="A18" s="19"/>
      <c r="B18" s="19" t="s">
        <v>184</v>
      </c>
      <c r="C18" s="19" t="s">
        <v>186</v>
      </c>
      <c r="D18" s="19">
        <v>3</v>
      </c>
      <c r="E18" s="24"/>
      <c r="F18" s="27"/>
      <c r="G18" s="21" t="s">
        <v>213</v>
      </c>
      <c r="H18" s="19" t="s">
        <v>179</v>
      </c>
      <c r="I18" s="19"/>
      <c r="J18" s="41"/>
    </row>
    <row r="19" spans="1:10" s="17" customFormat="1" x14ac:dyDescent="0.3">
      <c r="A19" s="57" t="s">
        <v>73</v>
      </c>
      <c r="B19" s="57"/>
      <c r="C19" s="57"/>
      <c r="D19" s="30">
        <f>SUM(D12:D18)</f>
        <v>18</v>
      </c>
      <c r="E19" s="25"/>
      <c r="F19" s="28"/>
      <c r="G19" s="22"/>
      <c r="H19" s="30"/>
      <c r="I19" s="30"/>
      <c r="J19" s="42"/>
    </row>
    <row r="20" spans="1:10" x14ac:dyDescent="0.3">
      <c r="A20" s="19"/>
      <c r="B20" s="19"/>
      <c r="C20" s="19"/>
      <c r="D20" s="19"/>
      <c r="E20" s="24" t="s">
        <v>83</v>
      </c>
      <c r="F20" s="27" t="s">
        <v>14</v>
      </c>
      <c r="G20" s="21"/>
      <c r="H20" s="19"/>
      <c r="I20" s="19"/>
      <c r="J20" s="41"/>
    </row>
    <row r="21" spans="1:10" x14ac:dyDescent="0.3">
      <c r="A21" s="19"/>
      <c r="B21" s="19" t="s">
        <v>30</v>
      </c>
      <c r="C21" s="19" t="s">
        <v>103</v>
      </c>
      <c r="D21" s="19">
        <v>3</v>
      </c>
      <c r="E21" s="24"/>
      <c r="F21" s="27"/>
      <c r="G21" s="21" t="s">
        <v>92</v>
      </c>
      <c r="H21" s="19" t="s">
        <v>179</v>
      </c>
      <c r="I21" s="19"/>
      <c r="J21" s="41" t="s">
        <v>594</v>
      </c>
    </row>
    <row r="22" spans="1:10" x14ac:dyDescent="0.3">
      <c r="A22" s="19"/>
      <c r="B22" s="19" t="s">
        <v>31</v>
      </c>
      <c r="C22" s="19" t="s">
        <v>104</v>
      </c>
      <c r="D22" s="19">
        <v>3</v>
      </c>
      <c r="E22" s="24"/>
      <c r="F22" s="27"/>
      <c r="G22" s="21" t="s">
        <v>92</v>
      </c>
      <c r="H22" s="19" t="s">
        <v>179</v>
      </c>
      <c r="I22" s="19"/>
      <c r="J22" s="41"/>
    </row>
    <row r="23" spans="1:10" x14ac:dyDescent="0.3">
      <c r="A23" s="19"/>
      <c r="B23" s="19" t="s">
        <v>58</v>
      </c>
      <c r="C23" s="19" t="s">
        <v>173</v>
      </c>
      <c r="D23" s="19">
        <v>2</v>
      </c>
      <c r="E23" s="24"/>
      <c r="F23" s="27"/>
      <c r="G23" s="21" t="s">
        <v>92</v>
      </c>
      <c r="H23" s="19" t="s">
        <v>179</v>
      </c>
      <c r="I23" s="19"/>
      <c r="J23" s="41"/>
    </row>
    <row r="24" spans="1:10" x14ac:dyDescent="0.3">
      <c r="A24" s="19"/>
      <c r="B24" s="19" t="s">
        <v>82</v>
      </c>
      <c r="C24" s="19" t="s">
        <v>107</v>
      </c>
      <c r="D24" s="19">
        <v>3</v>
      </c>
      <c r="E24" s="24"/>
      <c r="F24" s="27"/>
      <c r="G24" s="33" t="s">
        <v>93</v>
      </c>
      <c r="H24" s="19" t="s">
        <v>179</v>
      </c>
      <c r="I24" s="19"/>
      <c r="J24" s="41"/>
    </row>
    <row r="25" spans="1:10" x14ac:dyDescent="0.3">
      <c r="A25" s="19"/>
      <c r="B25" s="19" t="s">
        <v>32</v>
      </c>
      <c r="C25" s="19" t="s">
        <v>105</v>
      </c>
      <c r="D25" s="19">
        <v>3</v>
      </c>
      <c r="E25" s="24"/>
      <c r="F25" s="27"/>
      <c r="G25" s="33" t="s">
        <v>93</v>
      </c>
      <c r="H25" s="19" t="s">
        <v>179</v>
      </c>
      <c r="I25" s="19"/>
      <c r="J25" s="41"/>
    </row>
    <row r="26" spans="1:10" x14ac:dyDescent="0.3">
      <c r="A26" s="19"/>
      <c r="B26" s="19" t="s">
        <v>187</v>
      </c>
      <c r="C26" s="19" t="s">
        <v>188</v>
      </c>
      <c r="D26" s="19">
        <v>3</v>
      </c>
      <c r="E26" s="24"/>
      <c r="F26" s="27"/>
      <c r="G26" s="21" t="s">
        <v>213</v>
      </c>
      <c r="H26" s="19" t="s">
        <v>179</v>
      </c>
      <c r="I26" s="19"/>
      <c r="J26" s="41"/>
    </row>
    <row r="27" spans="1:10" s="17" customFormat="1" x14ac:dyDescent="0.3">
      <c r="A27" s="57" t="s">
        <v>73</v>
      </c>
      <c r="B27" s="57"/>
      <c r="C27" s="57"/>
      <c r="D27" s="30">
        <f>SUM(D21:D26)</f>
        <v>17</v>
      </c>
      <c r="E27" s="25"/>
      <c r="F27" s="28"/>
      <c r="G27" s="22"/>
      <c r="H27" s="30"/>
      <c r="I27" s="30"/>
      <c r="J27" s="42"/>
    </row>
    <row r="28" spans="1:10" x14ac:dyDescent="0.3">
      <c r="A28" s="19"/>
      <c r="B28" s="19"/>
      <c r="C28" s="19"/>
      <c r="D28" s="19"/>
      <c r="E28" s="24"/>
      <c r="F28" s="27" t="s">
        <v>81</v>
      </c>
      <c r="G28" s="21"/>
      <c r="H28" s="19"/>
      <c r="I28" s="19"/>
      <c r="J28" s="41"/>
    </row>
    <row r="29" spans="1:10" x14ac:dyDescent="0.3">
      <c r="A29" s="19"/>
      <c r="B29" s="19" t="s">
        <v>35</v>
      </c>
      <c r="C29" s="19" t="s">
        <v>110</v>
      </c>
      <c r="D29" s="19">
        <v>3</v>
      </c>
      <c r="E29" s="24"/>
      <c r="F29" s="27"/>
      <c r="G29" s="21" t="s">
        <v>92</v>
      </c>
      <c r="H29" s="19" t="s">
        <v>179</v>
      </c>
      <c r="I29" s="19"/>
      <c r="J29" s="41" t="s">
        <v>595</v>
      </c>
    </row>
    <row r="30" spans="1:10" x14ac:dyDescent="0.3">
      <c r="A30" s="19"/>
      <c r="B30" s="19" t="s">
        <v>36</v>
      </c>
      <c r="C30" s="19" t="s">
        <v>111</v>
      </c>
      <c r="D30" s="19">
        <v>3</v>
      </c>
      <c r="E30" s="24"/>
      <c r="F30" s="27"/>
      <c r="G30" s="21" t="s">
        <v>92</v>
      </c>
      <c r="H30" s="19" t="s">
        <v>179</v>
      </c>
      <c r="I30" s="19"/>
      <c r="J30" s="41"/>
    </row>
    <row r="31" spans="1:10" x14ac:dyDescent="0.3">
      <c r="A31" s="19"/>
      <c r="B31" s="19" t="s">
        <v>189</v>
      </c>
      <c r="C31" s="19" t="s">
        <v>192</v>
      </c>
      <c r="D31" s="19">
        <v>3</v>
      </c>
      <c r="E31" s="24"/>
      <c r="F31" s="27"/>
      <c r="G31" s="21" t="s">
        <v>213</v>
      </c>
      <c r="H31" s="19" t="s">
        <v>179</v>
      </c>
      <c r="I31" s="19"/>
      <c r="J31" s="41"/>
    </row>
    <row r="32" spans="1:10" x14ac:dyDescent="0.3">
      <c r="A32" s="19"/>
      <c r="B32" s="19" t="s">
        <v>38</v>
      </c>
      <c r="C32" s="19" t="s">
        <v>114</v>
      </c>
      <c r="D32" s="19">
        <v>3</v>
      </c>
      <c r="E32" s="24"/>
      <c r="F32" s="27"/>
      <c r="G32" s="33" t="s">
        <v>93</v>
      </c>
      <c r="H32" s="19" t="s">
        <v>179</v>
      </c>
      <c r="I32" s="19"/>
      <c r="J32" s="41"/>
    </row>
    <row r="33" spans="1:10" x14ac:dyDescent="0.3">
      <c r="A33" s="19"/>
      <c r="B33" s="19" t="s">
        <v>190</v>
      </c>
      <c r="C33" s="19" t="s">
        <v>193</v>
      </c>
      <c r="D33" s="19">
        <v>3</v>
      </c>
      <c r="E33" s="24"/>
      <c r="F33" s="27"/>
      <c r="G33" s="21" t="s">
        <v>213</v>
      </c>
      <c r="H33" s="19" t="s">
        <v>179</v>
      </c>
      <c r="I33" s="19"/>
      <c r="J33" s="41"/>
    </row>
    <row r="34" spans="1:10" x14ac:dyDescent="0.3">
      <c r="A34" s="19"/>
      <c r="B34" s="19" t="s">
        <v>191</v>
      </c>
      <c r="C34" s="19" t="s">
        <v>194</v>
      </c>
      <c r="D34" s="19">
        <v>3</v>
      </c>
      <c r="E34" s="24"/>
      <c r="F34" s="27"/>
      <c r="G34" s="21" t="s">
        <v>213</v>
      </c>
      <c r="H34" s="19" t="s">
        <v>179</v>
      </c>
      <c r="I34" s="19"/>
      <c r="J34" s="41"/>
    </row>
    <row r="35" spans="1:10" s="17" customFormat="1" x14ac:dyDescent="0.3">
      <c r="A35" s="57" t="s">
        <v>73</v>
      </c>
      <c r="B35" s="57"/>
      <c r="C35" s="57"/>
      <c r="D35" s="30">
        <f>SUM(D29:D34)</f>
        <v>18</v>
      </c>
      <c r="E35" s="25"/>
      <c r="F35" s="28"/>
      <c r="G35" s="22"/>
      <c r="H35" s="30"/>
      <c r="I35" s="30"/>
      <c r="J35" s="42"/>
    </row>
    <row r="36" spans="1:10" x14ac:dyDescent="0.3">
      <c r="A36" s="19"/>
      <c r="B36" s="19"/>
      <c r="C36" s="19"/>
      <c r="D36" s="19"/>
      <c r="E36" s="24" t="s">
        <v>174</v>
      </c>
      <c r="F36" s="27" t="s">
        <v>14</v>
      </c>
      <c r="G36" s="21"/>
      <c r="H36" s="19"/>
      <c r="I36" s="19"/>
      <c r="J36" s="41"/>
    </row>
    <row r="37" spans="1:10" x14ac:dyDescent="0.3">
      <c r="A37" s="19"/>
      <c r="B37" s="19" t="s">
        <v>41</v>
      </c>
      <c r="C37" s="19" t="s">
        <v>147</v>
      </c>
      <c r="D37" s="19">
        <v>3</v>
      </c>
      <c r="E37" s="24"/>
      <c r="F37" s="27"/>
      <c r="G37" s="21" t="s">
        <v>92</v>
      </c>
      <c r="H37" s="19" t="s">
        <v>179</v>
      </c>
      <c r="I37" s="19"/>
      <c r="J37" s="41" t="s">
        <v>596</v>
      </c>
    </row>
    <row r="38" spans="1:10" x14ac:dyDescent="0.3">
      <c r="A38" s="19"/>
      <c r="B38" s="19" t="s">
        <v>42</v>
      </c>
      <c r="C38" s="19" t="s">
        <v>117</v>
      </c>
      <c r="D38" s="19">
        <v>3</v>
      </c>
      <c r="E38" s="24"/>
      <c r="F38" s="27"/>
      <c r="G38" s="21" t="s">
        <v>92</v>
      </c>
      <c r="H38" s="19" t="s">
        <v>179</v>
      </c>
      <c r="I38" s="19"/>
      <c r="J38" s="41" t="s">
        <v>598</v>
      </c>
    </row>
    <row r="39" spans="1:10" x14ac:dyDescent="0.3">
      <c r="A39" s="19"/>
      <c r="B39" s="19" t="s">
        <v>195</v>
      </c>
      <c r="C39" s="19" t="s">
        <v>197</v>
      </c>
      <c r="D39" s="19">
        <v>3</v>
      </c>
      <c r="E39" s="24"/>
      <c r="F39" s="27"/>
      <c r="G39" s="21" t="s">
        <v>213</v>
      </c>
      <c r="H39" s="19" t="s">
        <v>179</v>
      </c>
      <c r="I39" s="19"/>
      <c r="J39" s="41"/>
    </row>
    <row r="40" spans="1:10" x14ac:dyDescent="0.3">
      <c r="A40" s="19"/>
      <c r="B40" s="19" t="s">
        <v>43</v>
      </c>
      <c r="C40" s="19" t="s">
        <v>118</v>
      </c>
      <c r="D40" s="19">
        <v>3</v>
      </c>
      <c r="E40" s="24"/>
      <c r="F40" s="27"/>
      <c r="G40" s="33" t="s">
        <v>93</v>
      </c>
      <c r="H40" s="19" t="s">
        <v>179</v>
      </c>
      <c r="I40" s="19"/>
      <c r="J40" s="41"/>
    </row>
    <row r="41" spans="1:10" x14ac:dyDescent="0.3">
      <c r="A41" s="19"/>
      <c r="B41" s="19" t="s">
        <v>44</v>
      </c>
      <c r="C41" s="19" t="s">
        <v>138</v>
      </c>
      <c r="D41" s="19">
        <v>3</v>
      </c>
      <c r="E41" s="24"/>
      <c r="F41" s="27"/>
      <c r="G41" s="33" t="s">
        <v>93</v>
      </c>
      <c r="H41" s="19" t="s">
        <v>179</v>
      </c>
      <c r="I41" s="19"/>
      <c r="J41" s="41"/>
    </row>
    <row r="42" spans="1:10" x14ac:dyDescent="0.3">
      <c r="A42" s="19"/>
      <c r="B42" s="19" t="s">
        <v>196</v>
      </c>
      <c r="C42" s="19" t="s">
        <v>198</v>
      </c>
      <c r="D42" s="19">
        <v>3</v>
      </c>
      <c r="E42" s="24"/>
      <c r="F42" s="27"/>
      <c r="G42" s="21" t="s">
        <v>213</v>
      </c>
      <c r="H42" s="19" t="s">
        <v>179</v>
      </c>
      <c r="I42" s="19"/>
      <c r="J42" s="41"/>
    </row>
    <row r="43" spans="1:10" s="17" customFormat="1" x14ac:dyDescent="0.3">
      <c r="A43" s="57" t="s">
        <v>73</v>
      </c>
      <c r="B43" s="57"/>
      <c r="C43" s="57"/>
      <c r="D43" s="30">
        <f>SUM(D37:D42)</f>
        <v>18</v>
      </c>
      <c r="E43" s="25"/>
      <c r="F43" s="28"/>
      <c r="G43" s="22"/>
      <c r="H43" s="30"/>
      <c r="I43" s="30"/>
      <c r="J43" s="42"/>
    </row>
    <row r="44" spans="1:10" x14ac:dyDescent="0.3">
      <c r="A44" s="19"/>
      <c r="B44" s="19"/>
      <c r="C44" s="19"/>
      <c r="D44" s="19"/>
      <c r="E44" s="24"/>
      <c r="F44" s="27" t="s">
        <v>215</v>
      </c>
      <c r="G44" s="21"/>
      <c r="H44" s="19"/>
      <c r="I44" s="19"/>
      <c r="J44" s="41"/>
    </row>
    <row r="45" spans="1:10" x14ac:dyDescent="0.3">
      <c r="A45" s="19"/>
      <c r="B45" s="19" t="s">
        <v>199</v>
      </c>
      <c r="C45" s="19" t="s">
        <v>201</v>
      </c>
      <c r="D45" s="19">
        <v>3</v>
      </c>
      <c r="E45" s="24"/>
      <c r="F45" s="27"/>
      <c r="G45" s="21" t="s">
        <v>92</v>
      </c>
      <c r="H45" s="19" t="s">
        <v>179</v>
      </c>
      <c r="I45" s="19"/>
      <c r="J45" s="41" t="s">
        <v>600</v>
      </c>
    </row>
    <row r="46" spans="1:10" x14ac:dyDescent="0.3">
      <c r="A46" s="19"/>
      <c r="B46" s="19" t="s">
        <v>47</v>
      </c>
      <c r="C46" s="19" t="s">
        <v>122</v>
      </c>
      <c r="D46" s="19">
        <v>3</v>
      </c>
      <c r="E46" s="24"/>
      <c r="F46" s="27"/>
      <c r="G46" s="21" t="s">
        <v>92</v>
      </c>
      <c r="H46" s="19" t="s">
        <v>179</v>
      </c>
      <c r="I46" s="19"/>
      <c r="J46" s="41" t="s">
        <v>600</v>
      </c>
    </row>
    <row r="47" spans="1:10" x14ac:dyDescent="0.3">
      <c r="A47" s="19"/>
      <c r="B47" s="19" t="s">
        <v>49</v>
      </c>
      <c r="C47" s="19" t="s">
        <v>157</v>
      </c>
      <c r="D47" s="19">
        <v>3</v>
      </c>
      <c r="E47" s="24"/>
      <c r="F47" s="27"/>
      <c r="G47" s="21" t="s">
        <v>92</v>
      </c>
      <c r="H47" s="19" t="s">
        <v>179</v>
      </c>
      <c r="I47" s="19"/>
      <c r="J47" s="41" t="s">
        <v>597</v>
      </c>
    </row>
    <row r="48" spans="1:10" x14ac:dyDescent="0.3">
      <c r="A48" s="19"/>
      <c r="B48" s="19" t="s">
        <v>50</v>
      </c>
      <c r="C48" s="19" t="s">
        <v>125</v>
      </c>
      <c r="D48" s="19">
        <v>3</v>
      </c>
      <c r="E48" s="24"/>
      <c r="F48" s="27"/>
      <c r="G48" s="33" t="s">
        <v>93</v>
      </c>
      <c r="H48" s="19" t="s">
        <v>179</v>
      </c>
      <c r="I48" s="19"/>
      <c r="J48" s="41"/>
    </row>
    <row r="49" spans="1:10" x14ac:dyDescent="0.3">
      <c r="A49" s="19"/>
      <c r="B49" s="19" t="s">
        <v>200</v>
      </c>
      <c r="C49" s="19" t="s">
        <v>202</v>
      </c>
      <c r="D49" s="19">
        <v>3</v>
      </c>
      <c r="E49" s="24"/>
      <c r="F49" s="27"/>
      <c r="G49" s="21" t="s">
        <v>213</v>
      </c>
      <c r="H49" s="19" t="s">
        <v>179</v>
      </c>
      <c r="I49" s="19"/>
      <c r="J49" s="41"/>
    </row>
    <row r="50" spans="1:10" x14ac:dyDescent="0.3">
      <c r="A50" s="19"/>
      <c r="B50" s="19" t="s">
        <v>205</v>
      </c>
      <c r="C50" s="19" t="s">
        <v>208</v>
      </c>
      <c r="D50" s="19">
        <v>3</v>
      </c>
      <c r="E50" s="24"/>
      <c r="F50" s="27"/>
      <c r="G50" s="21" t="s">
        <v>213</v>
      </c>
      <c r="H50" s="19" t="s">
        <v>179</v>
      </c>
      <c r="I50" s="19"/>
      <c r="J50" s="41"/>
    </row>
    <row r="51" spans="1:10" s="17" customFormat="1" x14ac:dyDescent="0.3">
      <c r="A51" s="57" t="s">
        <v>73</v>
      </c>
      <c r="B51" s="57"/>
      <c r="C51" s="57"/>
      <c r="D51" s="30">
        <f>SUM(D45:D50)</f>
        <v>18</v>
      </c>
      <c r="E51" s="25"/>
      <c r="F51" s="28"/>
      <c r="G51" s="22"/>
      <c r="H51" s="30"/>
      <c r="I51" s="30"/>
      <c r="J51" s="42"/>
    </row>
    <row r="53" spans="1:10" x14ac:dyDescent="0.3">
      <c r="A53" s="5"/>
      <c r="F53" s="2" t="s">
        <v>85</v>
      </c>
    </row>
    <row r="54" spans="1:10" x14ac:dyDescent="0.3">
      <c r="A54" s="5"/>
      <c r="B54" t="s">
        <v>53</v>
      </c>
      <c r="C54" t="s">
        <v>126</v>
      </c>
      <c r="D54">
        <v>6</v>
      </c>
      <c r="G54" s="33" t="s">
        <v>92</v>
      </c>
      <c r="H54" t="s">
        <v>179</v>
      </c>
      <c r="J54" s="43" t="s">
        <v>599</v>
      </c>
    </row>
    <row r="55" spans="1:10" s="17" customFormat="1" x14ac:dyDescent="0.3">
      <c r="A55" s="55" t="s">
        <v>73</v>
      </c>
      <c r="B55" s="55"/>
      <c r="C55" s="55"/>
      <c r="D55" s="17">
        <f>SUM(D54)</f>
        <v>6</v>
      </c>
      <c r="E55" s="26"/>
      <c r="F55" s="29"/>
      <c r="G55" s="34"/>
      <c r="J55" s="44"/>
    </row>
    <row r="57" spans="1:10" x14ac:dyDescent="0.3">
      <c r="E57" s="1" t="s">
        <v>86</v>
      </c>
      <c r="F57" s="2" t="s">
        <v>14</v>
      </c>
    </row>
    <row r="58" spans="1:10" x14ac:dyDescent="0.3">
      <c r="B58" t="s">
        <v>54</v>
      </c>
      <c r="C58" t="s">
        <v>80</v>
      </c>
      <c r="D58">
        <v>3</v>
      </c>
      <c r="G58" s="33" t="s">
        <v>92</v>
      </c>
      <c r="H58" t="s">
        <v>179</v>
      </c>
      <c r="J58" s="43" t="s">
        <v>591</v>
      </c>
    </row>
    <row r="59" spans="1:10" x14ac:dyDescent="0.3">
      <c r="B59" t="s">
        <v>55</v>
      </c>
      <c r="C59" t="s">
        <v>79</v>
      </c>
      <c r="D59">
        <v>3</v>
      </c>
      <c r="G59" s="33" t="s">
        <v>92</v>
      </c>
      <c r="H59" t="s">
        <v>179</v>
      </c>
      <c r="J59" s="43" t="s">
        <v>591</v>
      </c>
    </row>
    <row r="60" spans="1:10" x14ac:dyDescent="0.3">
      <c r="B60" t="s">
        <v>56</v>
      </c>
      <c r="C60" t="s">
        <v>78</v>
      </c>
      <c r="D60">
        <v>3</v>
      </c>
      <c r="G60" s="33" t="s">
        <v>93</v>
      </c>
      <c r="H60" t="s">
        <v>179</v>
      </c>
    </row>
    <row r="61" spans="1:10" x14ac:dyDescent="0.3">
      <c r="B61" t="s">
        <v>203</v>
      </c>
      <c r="C61" t="s">
        <v>206</v>
      </c>
      <c r="D61">
        <v>3</v>
      </c>
      <c r="G61" s="33" t="s">
        <v>213</v>
      </c>
      <c r="H61" t="s">
        <v>179</v>
      </c>
    </row>
    <row r="62" spans="1:10" x14ac:dyDescent="0.3">
      <c r="B62" t="s">
        <v>204</v>
      </c>
      <c r="C62" t="s">
        <v>207</v>
      </c>
      <c r="D62">
        <v>3</v>
      </c>
      <c r="G62" s="33" t="s">
        <v>213</v>
      </c>
      <c r="H62" t="s">
        <v>179</v>
      </c>
    </row>
    <row r="63" spans="1:10" x14ac:dyDescent="0.3">
      <c r="B63" t="s">
        <v>59</v>
      </c>
      <c r="C63" t="s">
        <v>75</v>
      </c>
      <c r="D63">
        <v>3</v>
      </c>
      <c r="G63" s="33" t="s">
        <v>93</v>
      </c>
      <c r="H63" t="s">
        <v>179</v>
      </c>
    </row>
    <row r="64" spans="1:10" s="17" customFormat="1" x14ac:dyDescent="0.3">
      <c r="A64" s="55" t="s">
        <v>73</v>
      </c>
      <c r="B64" s="55"/>
      <c r="C64" s="55"/>
      <c r="D64" s="17">
        <f>SUM(D58:D63)</f>
        <v>18</v>
      </c>
      <c r="E64" s="26"/>
      <c r="F64" s="29"/>
      <c r="G64" s="34"/>
      <c r="J64" s="44"/>
    </row>
    <row r="65" spans="1:10" x14ac:dyDescent="0.3">
      <c r="F65" s="2" t="s">
        <v>81</v>
      </c>
    </row>
    <row r="66" spans="1:10" x14ac:dyDescent="0.3">
      <c r="B66" t="s">
        <v>61</v>
      </c>
      <c r="C66" t="s">
        <v>72</v>
      </c>
      <c r="D66">
        <v>2</v>
      </c>
      <c r="G66" s="33" t="s">
        <v>92</v>
      </c>
      <c r="H66" t="s">
        <v>179</v>
      </c>
      <c r="J66" s="43" t="s">
        <v>591</v>
      </c>
    </row>
    <row r="67" spans="1:10" x14ac:dyDescent="0.3">
      <c r="B67" t="s">
        <v>62</v>
      </c>
      <c r="C67" t="s">
        <v>71</v>
      </c>
      <c r="D67">
        <v>3</v>
      </c>
      <c r="G67" s="33" t="s">
        <v>92</v>
      </c>
      <c r="H67" t="s">
        <v>179</v>
      </c>
      <c r="J67" s="43" t="s">
        <v>591</v>
      </c>
    </row>
    <row r="68" spans="1:10" x14ac:dyDescent="0.3">
      <c r="B68" t="s">
        <v>63</v>
      </c>
      <c r="C68" t="s">
        <v>70</v>
      </c>
      <c r="D68">
        <v>3</v>
      </c>
      <c r="G68" s="33" t="s">
        <v>93</v>
      </c>
      <c r="H68" t="s">
        <v>179</v>
      </c>
    </row>
    <row r="69" spans="1:10" x14ac:dyDescent="0.3">
      <c r="B69" t="s">
        <v>64</v>
      </c>
      <c r="C69" t="s">
        <v>69</v>
      </c>
      <c r="D69">
        <v>3</v>
      </c>
      <c r="G69" s="33" t="s">
        <v>93</v>
      </c>
      <c r="H69" t="s">
        <v>179</v>
      </c>
    </row>
    <row r="70" spans="1:10" x14ac:dyDescent="0.3">
      <c r="B70" t="s">
        <v>209</v>
      </c>
      <c r="C70" t="s">
        <v>211</v>
      </c>
      <c r="D70">
        <v>3</v>
      </c>
      <c r="G70" s="33" t="s">
        <v>213</v>
      </c>
      <c r="H70" t="s">
        <v>179</v>
      </c>
    </row>
    <row r="71" spans="1:10" x14ac:dyDescent="0.3">
      <c r="B71" t="s">
        <v>210</v>
      </c>
      <c r="C71" t="s">
        <v>212</v>
      </c>
      <c r="D71">
        <v>3</v>
      </c>
      <c r="G71" s="33" t="s">
        <v>213</v>
      </c>
      <c r="H71" t="s">
        <v>179</v>
      </c>
    </row>
    <row r="72" spans="1:10" s="17" customFormat="1" x14ac:dyDescent="0.3">
      <c r="A72" s="55" t="s">
        <v>73</v>
      </c>
      <c r="B72" s="55"/>
      <c r="C72" s="55"/>
      <c r="D72" s="17">
        <f>SUM(D66:D71)</f>
        <v>17</v>
      </c>
      <c r="E72" s="26"/>
      <c r="F72" s="29"/>
      <c r="G72" s="34"/>
      <c r="J72" s="44"/>
    </row>
    <row r="74" spans="1:10" x14ac:dyDescent="0.3">
      <c r="A74" t="s">
        <v>603</v>
      </c>
    </row>
    <row r="75" spans="1:10" x14ac:dyDescent="0.3">
      <c r="A75" t="s">
        <v>608</v>
      </c>
      <c r="B75">
        <f>SUMIF(G3:G72,G14,D3:D72)</f>
        <v>6</v>
      </c>
    </row>
    <row r="76" spans="1:10" x14ac:dyDescent="0.3">
      <c r="A76" t="s">
        <v>613</v>
      </c>
      <c r="B76">
        <f>SUMIF(G3:G72,G70,D3:D72)</f>
        <v>45</v>
      </c>
    </row>
    <row r="77" spans="1:10" x14ac:dyDescent="0.3">
      <c r="A77" t="s">
        <v>615</v>
      </c>
      <c r="B77">
        <f ca="1">SUMIF(G3:G72,G68,D3:D71)</f>
        <v>42</v>
      </c>
    </row>
    <row r="78" spans="1:10" x14ac:dyDescent="0.3">
      <c r="A78" t="s">
        <v>92</v>
      </c>
      <c r="B78">
        <f>SUMIF(G3:G72,G66,D3:D72)</f>
        <v>55</v>
      </c>
    </row>
    <row r="79" spans="1:10" x14ac:dyDescent="0.3">
      <c r="A79" t="s">
        <v>610</v>
      </c>
      <c r="B79">
        <f ca="1">SUM(B75:B78)</f>
        <v>148</v>
      </c>
    </row>
    <row r="82" spans="1:2" x14ac:dyDescent="0.3">
      <c r="A82" t="s">
        <v>604</v>
      </c>
    </row>
    <row r="83" spans="1:2" x14ac:dyDescent="0.3">
      <c r="A83" t="s">
        <v>605</v>
      </c>
      <c r="B83" t="s">
        <v>606</v>
      </c>
    </row>
    <row r="84" spans="1:2" x14ac:dyDescent="0.3">
      <c r="A84" t="s">
        <v>607</v>
      </c>
      <c r="B84" t="s">
        <v>606</v>
      </c>
    </row>
  </sheetData>
  <mergeCells count="9">
    <mergeCell ref="A55:C55"/>
    <mergeCell ref="A64:C64"/>
    <mergeCell ref="A72:C72"/>
    <mergeCell ref="A10:C10"/>
    <mergeCell ref="A19:C19"/>
    <mergeCell ref="A27:C27"/>
    <mergeCell ref="A35:C35"/>
    <mergeCell ref="A43:C43"/>
    <mergeCell ref="A51:C5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topLeftCell="A46" workbookViewId="0">
      <selection activeCell="C59" sqref="C59"/>
    </sheetView>
  </sheetViews>
  <sheetFormatPr defaultRowHeight="14.4" x14ac:dyDescent="0.3"/>
  <cols>
    <col min="1" max="1" width="15.33203125" customWidth="1"/>
    <col min="2" max="2" width="12.109375" bestFit="1" customWidth="1"/>
    <col min="3" max="3" width="51.5546875" bestFit="1" customWidth="1"/>
    <col min="4" max="4" width="20.33203125" bestFit="1" customWidth="1"/>
    <col min="5" max="5" width="10.33203125" style="1" bestFit="1" customWidth="1"/>
    <col min="6" max="6" width="14.88671875" style="2" bestFit="1" customWidth="1"/>
    <col min="7" max="7" width="35.6640625" style="3" bestFit="1" customWidth="1"/>
    <col min="8" max="8" width="39.109375" bestFit="1" customWidth="1"/>
    <col min="9" max="9" width="5.6640625" bestFit="1" customWidth="1"/>
    <col min="10" max="10" width="158.88671875" style="32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1" t="s">
        <v>7</v>
      </c>
      <c r="I1" s="11" t="s">
        <v>8</v>
      </c>
      <c r="J1" s="13" t="s">
        <v>9</v>
      </c>
    </row>
    <row r="2" spans="1:10" x14ac:dyDescent="0.3">
      <c r="A2" s="11" t="s">
        <v>216</v>
      </c>
      <c r="B2" s="11" t="s">
        <v>10</v>
      </c>
      <c r="C2" s="11" t="s">
        <v>11</v>
      </c>
      <c r="D2" s="11" t="s">
        <v>12</v>
      </c>
      <c r="E2" s="12" t="s">
        <v>13</v>
      </c>
      <c r="F2" s="13" t="s">
        <v>14</v>
      </c>
      <c r="G2" s="14"/>
      <c r="H2" s="11"/>
      <c r="I2" s="11"/>
      <c r="J2" s="13"/>
    </row>
    <row r="3" spans="1:10" x14ac:dyDescent="0.3">
      <c r="A3" s="19"/>
      <c r="B3" s="19" t="s">
        <v>16</v>
      </c>
      <c r="C3" s="19" t="s">
        <v>87</v>
      </c>
      <c r="D3" s="19">
        <v>3</v>
      </c>
      <c r="E3" s="24"/>
      <c r="F3" s="27"/>
      <c r="G3" s="21" t="s">
        <v>92</v>
      </c>
      <c r="H3" s="19" t="s">
        <v>179</v>
      </c>
      <c r="I3" s="19"/>
      <c r="J3" s="27"/>
    </row>
    <row r="4" spans="1:10" x14ac:dyDescent="0.3">
      <c r="A4" s="19"/>
      <c r="B4" s="19" t="s">
        <v>29</v>
      </c>
      <c r="C4" s="19" t="s">
        <v>89</v>
      </c>
      <c r="D4" s="19">
        <v>2</v>
      </c>
      <c r="E4" s="24"/>
      <c r="F4" s="27"/>
      <c r="G4" s="21" t="s">
        <v>92</v>
      </c>
      <c r="H4" s="19" t="s">
        <v>179</v>
      </c>
      <c r="I4" s="19"/>
      <c r="J4" s="27"/>
    </row>
    <row r="5" spans="1:10" x14ac:dyDescent="0.3">
      <c r="A5" s="19"/>
      <c r="B5" s="19" t="s">
        <v>17</v>
      </c>
      <c r="C5" s="19" t="s">
        <v>88</v>
      </c>
      <c r="D5" s="19">
        <v>3</v>
      </c>
      <c r="E5" s="24"/>
      <c r="F5" s="27"/>
      <c r="G5" s="21" t="s">
        <v>102</v>
      </c>
      <c r="H5" s="19" t="s">
        <v>179</v>
      </c>
      <c r="I5" s="19"/>
      <c r="J5" s="27"/>
    </row>
    <row r="6" spans="1:10" x14ac:dyDescent="0.3">
      <c r="A6" s="19"/>
      <c r="B6" s="19" t="s">
        <v>128</v>
      </c>
      <c r="C6" s="19" t="s">
        <v>130</v>
      </c>
      <c r="D6" s="19">
        <v>3</v>
      </c>
      <c r="E6" s="24"/>
      <c r="F6" s="27"/>
      <c r="G6" s="21" t="s">
        <v>168</v>
      </c>
      <c r="H6" s="19" t="s">
        <v>179</v>
      </c>
      <c r="I6" s="19"/>
      <c r="J6" s="27"/>
    </row>
    <row r="7" spans="1:10" x14ac:dyDescent="0.3">
      <c r="A7" s="19"/>
      <c r="B7" s="19" t="s">
        <v>129</v>
      </c>
      <c r="C7" s="19" t="s">
        <v>131</v>
      </c>
      <c r="D7" s="19">
        <v>3</v>
      </c>
      <c r="E7" s="24"/>
      <c r="F7" s="27"/>
      <c r="G7" s="21" t="s">
        <v>168</v>
      </c>
      <c r="H7" s="19" t="s">
        <v>179</v>
      </c>
      <c r="I7" s="19"/>
      <c r="J7" s="27"/>
    </row>
    <row r="8" spans="1:10" x14ac:dyDescent="0.3">
      <c r="A8" s="19"/>
      <c r="B8" s="19" t="s">
        <v>631</v>
      </c>
      <c r="C8" s="19" t="s">
        <v>182</v>
      </c>
      <c r="D8" s="19">
        <v>3</v>
      </c>
      <c r="E8" s="24"/>
      <c r="F8" s="27"/>
      <c r="G8" s="21" t="s">
        <v>213</v>
      </c>
      <c r="H8" s="19" t="s">
        <v>179</v>
      </c>
      <c r="I8" s="19"/>
      <c r="J8" s="27"/>
    </row>
    <row r="9" spans="1:10" s="17" customFormat="1" x14ac:dyDescent="0.3">
      <c r="A9" s="57" t="s">
        <v>73</v>
      </c>
      <c r="B9" s="57"/>
      <c r="C9" s="57"/>
      <c r="D9" s="30">
        <f>SUM(D3:D8)</f>
        <v>17</v>
      </c>
      <c r="E9" s="25"/>
      <c r="F9" s="28"/>
      <c r="G9" s="22"/>
      <c r="H9" s="30"/>
      <c r="I9" s="30"/>
      <c r="J9" s="28"/>
    </row>
    <row r="10" spans="1:10" x14ac:dyDescent="0.3">
      <c r="A10" s="19"/>
      <c r="B10" s="19"/>
      <c r="C10" s="19"/>
      <c r="D10" s="19"/>
      <c r="E10" s="24"/>
      <c r="F10" s="27" t="s">
        <v>81</v>
      </c>
      <c r="G10" s="21"/>
      <c r="H10" s="19"/>
      <c r="I10" s="19"/>
      <c r="J10" s="27"/>
    </row>
    <row r="11" spans="1:10" x14ac:dyDescent="0.3">
      <c r="A11" s="19"/>
      <c r="B11" s="19" t="s">
        <v>22</v>
      </c>
      <c r="C11" s="19" t="s">
        <v>95</v>
      </c>
      <c r="D11" s="19">
        <v>2</v>
      </c>
      <c r="E11" s="24"/>
      <c r="F11" s="27"/>
      <c r="G11" s="21" t="s">
        <v>92</v>
      </c>
      <c r="H11" s="19" t="s">
        <v>179</v>
      </c>
      <c r="I11" s="19"/>
      <c r="J11" s="27"/>
    </row>
    <row r="12" spans="1:10" x14ac:dyDescent="0.3">
      <c r="A12" s="19"/>
      <c r="B12" s="19" t="s">
        <v>23</v>
      </c>
      <c r="C12" s="19" t="s">
        <v>96</v>
      </c>
      <c r="D12" s="19">
        <v>2</v>
      </c>
      <c r="E12" s="24"/>
      <c r="F12" s="27"/>
      <c r="G12" s="21" t="s">
        <v>92</v>
      </c>
      <c r="H12" s="19" t="s">
        <v>179</v>
      </c>
      <c r="I12" s="19"/>
      <c r="J12" s="27" t="s">
        <v>592</v>
      </c>
    </row>
    <row r="13" spans="1:10" x14ac:dyDescent="0.3">
      <c r="A13" s="19"/>
      <c r="B13" s="19" t="s">
        <v>25</v>
      </c>
      <c r="C13" s="19" t="s">
        <v>171</v>
      </c>
      <c r="D13" s="19">
        <v>2</v>
      </c>
      <c r="E13" s="24"/>
      <c r="F13" s="27"/>
      <c r="G13" s="21" t="s">
        <v>102</v>
      </c>
      <c r="H13" s="19" t="s">
        <v>179</v>
      </c>
      <c r="I13" s="19"/>
      <c r="J13" s="27"/>
    </row>
    <row r="14" spans="1:10" x14ac:dyDescent="0.3">
      <c r="A14" s="19"/>
      <c r="B14" s="19" t="s">
        <v>132</v>
      </c>
      <c r="C14" s="19" t="s">
        <v>134</v>
      </c>
      <c r="D14" s="19">
        <v>3</v>
      </c>
      <c r="E14" s="24"/>
      <c r="F14" s="27"/>
      <c r="G14" s="21" t="s">
        <v>168</v>
      </c>
      <c r="H14" s="19" t="s">
        <v>179</v>
      </c>
      <c r="I14" s="19"/>
      <c r="J14" s="27"/>
    </row>
    <row r="15" spans="1:10" x14ac:dyDescent="0.3">
      <c r="A15" s="19"/>
      <c r="B15" s="19" t="s">
        <v>133</v>
      </c>
      <c r="C15" s="19" t="s">
        <v>135</v>
      </c>
      <c r="D15" s="19">
        <v>3</v>
      </c>
      <c r="E15" s="24"/>
      <c r="F15" s="27"/>
      <c r="G15" s="21" t="s">
        <v>168</v>
      </c>
      <c r="H15" s="19" t="s">
        <v>179</v>
      </c>
      <c r="I15" s="19"/>
      <c r="J15" s="27"/>
    </row>
    <row r="16" spans="1:10" x14ac:dyDescent="0.3">
      <c r="A16" s="19"/>
      <c r="B16" s="19" t="s">
        <v>183</v>
      </c>
      <c r="C16" s="19" t="s">
        <v>185</v>
      </c>
      <c r="D16" s="19">
        <v>3</v>
      </c>
      <c r="E16" s="24"/>
      <c r="F16" s="27"/>
      <c r="G16" s="21" t="s">
        <v>213</v>
      </c>
      <c r="H16" s="19" t="s">
        <v>179</v>
      </c>
      <c r="I16" s="19"/>
      <c r="J16" s="27"/>
    </row>
    <row r="17" spans="1:10" x14ac:dyDescent="0.3">
      <c r="A17" s="19"/>
      <c r="B17" s="19" t="s">
        <v>184</v>
      </c>
      <c r="C17" s="19" t="s">
        <v>186</v>
      </c>
      <c r="D17" s="19">
        <v>3</v>
      </c>
      <c r="E17" s="24"/>
      <c r="F17" s="27"/>
      <c r="G17" s="21" t="s">
        <v>213</v>
      </c>
      <c r="H17" s="19" t="s">
        <v>179</v>
      </c>
      <c r="I17" s="19"/>
      <c r="J17" s="27"/>
    </row>
    <row r="18" spans="1:10" s="17" customFormat="1" x14ac:dyDescent="0.3">
      <c r="A18" s="57" t="s">
        <v>73</v>
      </c>
      <c r="B18" s="57"/>
      <c r="C18" s="57"/>
      <c r="D18" s="30">
        <f>SUM(D11:D17)</f>
        <v>18</v>
      </c>
      <c r="E18" s="25"/>
      <c r="F18" s="28"/>
      <c r="G18" s="22"/>
      <c r="H18" s="30"/>
      <c r="I18" s="30"/>
      <c r="J18" s="28"/>
    </row>
    <row r="19" spans="1:10" x14ac:dyDescent="0.3">
      <c r="A19" s="19"/>
      <c r="B19" s="19"/>
      <c r="C19" s="19"/>
      <c r="D19" s="19"/>
      <c r="E19" s="24" t="s">
        <v>83</v>
      </c>
      <c r="F19" s="27" t="s">
        <v>14</v>
      </c>
      <c r="G19" s="21"/>
      <c r="H19" s="19"/>
      <c r="I19" s="19"/>
      <c r="J19" s="27"/>
    </row>
    <row r="20" spans="1:10" x14ac:dyDescent="0.3">
      <c r="A20" s="19"/>
      <c r="B20" s="19" t="s">
        <v>30</v>
      </c>
      <c r="C20" s="19" t="s">
        <v>103</v>
      </c>
      <c r="D20" s="19">
        <v>3</v>
      </c>
      <c r="E20" s="24"/>
      <c r="F20" s="27"/>
      <c r="G20" s="21" t="s">
        <v>92</v>
      </c>
      <c r="H20" s="19" t="s">
        <v>179</v>
      </c>
      <c r="I20" s="19"/>
      <c r="J20" s="27" t="s">
        <v>594</v>
      </c>
    </row>
    <row r="21" spans="1:10" x14ac:dyDescent="0.3">
      <c r="A21" s="19"/>
      <c r="B21" s="19" t="s">
        <v>31</v>
      </c>
      <c r="C21" s="19" t="s">
        <v>104</v>
      </c>
      <c r="D21" s="19">
        <v>3</v>
      </c>
      <c r="E21" s="24"/>
      <c r="F21" s="27"/>
      <c r="G21" s="21" t="s">
        <v>92</v>
      </c>
      <c r="H21" s="19" t="s">
        <v>179</v>
      </c>
      <c r="I21" s="19"/>
      <c r="J21" s="27"/>
    </row>
    <row r="22" spans="1:10" x14ac:dyDescent="0.3">
      <c r="A22" s="19"/>
      <c r="B22" s="19" t="s">
        <v>58</v>
      </c>
      <c r="C22" s="19" t="s">
        <v>173</v>
      </c>
      <c r="D22" s="19">
        <v>2</v>
      </c>
      <c r="E22" s="24"/>
      <c r="F22" s="27"/>
      <c r="G22" s="21" t="s">
        <v>92</v>
      </c>
      <c r="H22" s="19" t="s">
        <v>179</v>
      </c>
      <c r="I22" s="19"/>
      <c r="J22" s="27"/>
    </row>
    <row r="23" spans="1:10" x14ac:dyDescent="0.3">
      <c r="A23" s="19"/>
      <c r="B23" s="19" t="s">
        <v>137</v>
      </c>
      <c r="C23" s="19" t="s">
        <v>130</v>
      </c>
      <c r="D23" s="19">
        <v>3</v>
      </c>
      <c r="E23" s="24"/>
      <c r="F23" s="27"/>
      <c r="G23" s="21" t="s">
        <v>168</v>
      </c>
      <c r="H23" s="19" t="s">
        <v>179</v>
      </c>
      <c r="I23" s="19"/>
      <c r="J23" s="27"/>
    </row>
    <row r="24" spans="1:10" x14ac:dyDescent="0.3">
      <c r="A24" s="19"/>
      <c r="B24" s="19" t="s">
        <v>187</v>
      </c>
      <c r="C24" s="19" t="s">
        <v>188</v>
      </c>
      <c r="D24" s="19">
        <v>3</v>
      </c>
      <c r="E24" s="24"/>
      <c r="F24" s="27"/>
      <c r="G24" s="21" t="s">
        <v>213</v>
      </c>
      <c r="H24" s="19" t="s">
        <v>179</v>
      </c>
      <c r="I24" s="19"/>
      <c r="J24" s="27"/>
    </row>
    <row r="25" spans="1:10" x14ac:dyDescent="0.3">
      <c r="A25" s="19"/>
      <c r="B25" s="19" t="s">
        <v>195</v>
      </c>
      <c r="C25" s="19" t="s">
        <v>197</v>
      </c>
      <c r="D25" s="19">
        <v>3</v>
      </c>
      <c r="E25" s="24"/>
      <c r="F25" s="27"/>
      <c r="G25" s="21" t="s">
        <v>213</v>
      </c>
      <c r="H25" s="19" t="s">
        <v>179</v>
      </c>
      <c r="I25" s="19"/>
      <c r="J25" s="27"/>
    </row>
    <row r="26" spans="1:10" x14ac:dyDescent="0.3">
      <c r="A26" s="19"/>
      <c r="B26" s="19" t="s">
        <v>24</v>
      </c>
      <c r="C26" s="19" t="s">
        <v>142</v>
      </c>
      <c r="D26" s="19">
        <v>1</v>
      </c>
      <c r="E26" s="24"/>
      <c r="F26" s="27"/>
      <c r="G26" s="21" t="s">
        <v>102</v>
      </c>
      <c r="H26" s="19" t="s">
        <v>179</v>
      </c>
      <c r="I26" s="19"/>
      <c r="J26" s="27"/>
    </row>
    <row r="27" spans="1:10" s="17" customFormat="1" x14ac:dyDescent="0.3">
      <c r="A27" s="57" t="s">
        <v>73</v>
      </c>
      <c r="B27" s="57"/>
      <c r="C27" s="57"/>
      <c r="D27" s="30">
        <f>SUM(D20:D26)</f>
        <v>18</v>
      </c>
      <c r="E27" s="25"/>
      <c r="F27" s="28"/>
      <c r="G27" s="22"/>
      <c r="H27" s="30"/>
      <c r="I27" s="30"/>
      <c r="J27" s="28"/>
    </row>
    <row r="28" spans="1:10" x14ac:dyDescent="0.3">
      <c r="A28" s="19"/>
      <c r="B28" s="19"/>
      <c r="C28" s="19"/>
      <c r="D28" s="19"/>
      <c r="E28" s="24"/>
      <c r="F28" s="27" t="s">
        <v>81</v>
      </c>
      <c r="G28" s="21"/>
      <c r="H28" s="19"/>
      <c r="I28" s="19"/>
      <c r="J28" s="27"/>
    </row>
    <row r="29" spans="1:10" x14ac:dyDescent="0.3">
      <c r="A29" s="19"/>
      <c r="B29" s="19" t="s">
        <v>35</v>
      </c>
      <c r="C29" s="19" t="s">
        <v>110</v>
      </c>
      <c r="D29" s="19">
        <v>3</v>
      </c>
      <c r="E29" s="24"/>
      <c r="F29" s="27"/>
      <c r="G29" s="21" t="s">
        <v>92</v>
      </c>
      <c r="H29" s="19" t="s">
        <v>179</v>
      </c>
      <c r="I29" s="19"/>
      <c r="J29" s="27" t="s">
        <v>595</v>
      </c>
    </row>
    <row r="30" spans="1:10" x14ac:dyDescent="0.3">
      <c r="A30" s="19"/>
      <c r="B30" s="19" t="s">
        <v>36</v>
      </c>
      <c r="C30" s="19" t="s">
        <v>111</v>
      </c>
      <c r="D30" s="19">
        <v>3</v>
      </c>
      <c r="E30" s="24"/>
      <c r="F30" s="27"/>
      <c r="G30" s="21" t="s">
        <v>92</v>
      </c>
      <c r="H30" s="19" t="s">
        <v>179</v>
      </c>
      <c r="I30" s="19"/>
      <c r="J30" s="27"/>
    </row>
    <row r="31" spans="1:10" x14ac:dyDescent="0.3">
      <c r="A31" s="19"/>
      <c r="B31" s="19" t="s">
        <v>189</v>
      </c>
      <c r="C31" s="19" t="s">
        <v>192</v>
      </c>
      <c r="D31" s="19">
        <v>3</v>
      </c>
      <c r="E31" s="24"/>
      <c r="F31" s="27"/>
      <c r="G31" s="21" t="s">
        <v>213</v>
      </c>
      <c r="H31" s="19" t="s">
        <v>179</v>
      </c>
      <c r="I31" s="19"/>
      <c r="J31" s="27"/>
    </row>
    <row r="32" spans="1:10" x14ac:dyDescent="0.3">
      <c r="A32" s="19"/>
      <c r="B32" s="19" t="s">
        <v>140</v>
      </c>
      <c r="C32" s="19" t="s">
        <v>143</v>
      </c>
      <c r="D32" s="19">
        <v>3</v>
      </c>
      <c r="E32" s="24"/>
      <c r="F32" s="27"/>
      <c r="G32" s="21" t="s">
        <v>168</v>
      </c>
      <c r="H32" s="19" t="s">
        <v>179</v>
      </c>
      <c r="I32" s="19"/>
      <c r="J32" s="27"/>
    </row>
    <row r="33" spans="1:10" x14ac:dyDescent="0.3">
      <c r="A33" s="19"/>
      <c r="B33" s="19" t="s">
        <v>190</v>
      </c>
      <c r="C33" s="19" t="s">
        <v>193</v>
      </c>
      <c r="D33" s="19">
        <v>3</v>
      </c>
      <c r="E33" s="24"/>
      <c r="F33" s="27"/>
      <c r="G33" s="21" t="s">
        <v>213</v>
      </c>
      <c r="H33" s="19" t="s">
        <v>179</v>
      </c>
      <c r="I33" s="19"/>
      <c r="J33" s="27"/>
    </row>
    <row r="34" spans="1:10" x14ac:dyDescent="0.3">
      <c r="A34" s="19"/>
      <c r="B34" s="19" t="s">
        <v>191</v>
      </c>
      <c r="C34" s="19" t="s">
        <v>194</v>
      </c>
      <c r="D34" s="19">
        <v>3</v>
      </c>
      <c r="E34" s="24"/>
      <c r="F34" s="27"/>
      <c r="G34" s="21" t="s">
        <v>213</v>
      </c>
      <c r="H34" s="19" t="s">
        <v>179</v>
      </c>
      <c r="I34" s="19"/>
      <c r="J34" s="27"/>
    </row>
    <row r="35" spans="1:10" s="17" customFormat="1" x14ac:dyDescent="0.3">
      <c r="A35" s="57" t="s">
        <v>73</v>
      </c>
      <c r="B35" s="57"/>
      <c r="C35" s="57"/>
      <c r="D35" s="30">
        <f>SUM(D29:D34)</f>
        <v>18</v>
      </c>
      <c r="E35" s="25"/>
      <c r="F35" s="28"/>
      <c r="G35" s="22"/>
      <c r="H35" s="30"/>
      <c r="I35" s="30"/>
      <c r="J35" s="28"/>
    </row>
    <row r="36" spans="1:10" x14ac:dyDescent="0.3">
      <c r="A36" s="19"/>
      <c r="B36" s="19"/>
      <c r="C36" s="19"/>
      <c r="D36" s="19"/>
      <c r="E36" s="24" t="s">
        <v>84</v>
      </c>
      <c r="F36" s="27" t="s">
        <v>14</v>
      </c>
      <c r="G36" s="21"/>
      <c r="H36" s="19"/>
      <c r="I36" s="19"/>
      <c r="J36" s="27"/>
    </row>
    <row r="37" spans="1:10" x14ac:dyDescent="0.3">
      <c r="A37" s="19"/>
      <c r="B37" s="19" t="s">
        <v>41</v>
      </c>
      <c r="C37" s="19" t="s">
        <v>147</v>
      </c>
      <c r="D37" s="19">
        <v>3</v>
      </c>
      <c r="E37" s="24"/>
      <c r="F37" s="27"/>
      <c r="G37" s="21" t="s">
        <v>92</v>
      </c>
      <c r="H37" s="19" t="s">
        <v>179</v>
      </c>
      <c r="I37" s="19"/>
      <c r="J37" s="27" t="s">
        <v>596</v>
      </c>
    </row>
    <row r="38" spans="1:10" x14ac:dyDescent="0.3">
      <c r="A38" s="19"/>
      <c r="B38" s="19" t="s">
        <v>42</v>
      </c>
      <c r="C38" s="19" t="s">
        <v>117</v>
      </c>
      <c r="D38" s="19">
        <v>3</v>
      </c>
      <c r="E38" s="24"/>
      <c r="F38" s="27"/>
      <c r="G38" s="21" t="s">
        <v>92</v>
      </c>
      <c r="H38" s="19" t="s">
        <v>179</v>
      </c>
      <c r="I38" s="19"/>
      <c r="J38" s="27" t="s">
        <v>598</v>
      </c>
    </row>
    <row r="39" spans="1:10" x14ac:dyDescent="0.3">
      <c r="A39" s="19"/>
      <c r="B39" s="19" t="s">
        <v>145</v>
      </c>
      <c r="C39" s="19" t="s">
        <v>148</v>
      </c>
      <c r="D39" s="19">
        <v>3</v>
      </c>
      <c r="E39" s="24"/>
      <c r="F39" s="27"/>
      <c r="G39" s="21" t="s">
        <v>168</v>
      </c>
      <c r="H39" s="19" t="s">
        <v>179</v>
      </c>
      <c r="I39" s="19"/>
      <c r="J39" s="27"/>
    </row>
    <row r="40" spans="1:10" x14ac:dyDescent="0.3">
      <c r="A40" s="19"/>
      <c r="B40" s="19" t="s">
        <v>146</v>
      </c>
      <c r="C40" s="19" t="s">
        <v>149</v>
      </c>
      <c r="D40" s="19">
        <v>3</v>
      </c>
      <c r="E40" s="24"/>
      <c r="F40" s="27"/>
      <c r="G40" s="21" t="s">
        <v>168</v>
      </c>
      <c r="H40" s="19" t="s">
        <v>179</v>
      </c>
      <c r="I40" s="19"/>
      <c r="J40" s="27"/>
    </row>
    <row r="41" spans="1:10" x14ac:dyDescent="0.3">
      <c r="A41" s="19"/>
      <c r="B41" s="19" t="s">
        <v>205</v>
      </c>
      <c r="C41" s="19" t="s">
        <v>208</v>
      </c>
      <c r="D41" s="19">
        <v>3</v>
      </c>
      <c r="E41" s="24"/>
      <c r="F41" s="27"/>
      <c r="G41" s="21" t="s">
        <v>213</v>
      </c>
      <c r="H41" s="19" t="s">
        <v>179</v>
      </c>
      <c r="I41" s="19"/>
      <c r="J41" s="27"/>
    </row>
    <row r="42" spans="1:10" x14ac:dyDescent="0.3">
      <c r="A42" s="19"/>
      <c r="B42" s="19" t="s">
        <v>196</v>
      </c>
      <c r="C42" s="19" t="s">
        <v>198</v>
      </c>
      <c r="D42" s="19">
        <v>3</v>
      </c>
      <c r="E42" s="24"/>
      <c r="F42" s="27"/>
      <c r="G42" s="21" t="s">
        <v>213</v>
      </c>
      <c r="H42" s="19" t="s">
        <v>179</v>
      </c>
      <c r="I42" s="19"/>
      <c r="J42" s="27"/>
    </row>
    <row r="43" spans="1:10" s="17" customFormat="1" x14ac:dyDescent="0.3">
      <c r="A43" s="57" t="s">
        <v>73</v>
      </c>
      <c r="B43" s="57"/>
      <c r="C43" s="57"/>
      <c r="D43" s="30">
        <f>SUM(D37:D42)</f>
        <v>18</v>
      </c>
      <c r="E43" s="25"/>
      <c r="F43" s="28"/>
      <c r="G43" s="22"/>
      <c r="H43" s="30"/>
      <c r="I43" s="30"/>
      <c r="J43" s="28"/>
    </row>
    <row r="44" spans="1:10" x14ac:dyDescent="0.3">
      <c r="A44" s="19"/>
      <c r="B44" s="19"/>
      <c r="C44" s="19"/>
      <c r="D44" s="19"/>
      <c r="E44" s="24"/>
      <c r="F44" s="27" t="s">
        <v>81</v>
      </c>
      <c r="G44" s="21"/>
      <c r="H44" s="19"/>
      <c r="I44" s="19"/>
      <c r="J44" s="27"/>
    </row>
    <row r="45" spans="1:10" x14ac:dyDescent="0.3">
      <c r="A45" s="19"/>
      <c r="B45" s="19" t="s">
        <v>199</v>
      </c>
      <c r="C45" s="19" t="s">
        <v>201</v>
      </c>
      <c r="D45" s="19">
        <v>3</v>
      </c>
      <c r="E45" s="24"/>
      <c r="F45" s="27"/>
      <c r="G45" s="21" t="s">
        <v>92</v>
      </c>
      <c r="H45" s="19" t="s">
        <v>179</v>
      </c>
      <c r="I45" s="19"/>
      <c r="J45" s="27" t="s">
        <v>600</v>
      </c>
    </row>
    <row r="46" spans="1:10" x14ac:dyDescent="0.3">
      <c r="A46" s="19"/>
      <c r="B46" s="19" t="s">
        <v>151</v>
      </c>
      <c r="C46" s="19" t="s">
        <v>154</v>
      </c>
      <c r="D46" s="19">
        <v>3</v>
      </c>
      <c r="E46" s="24"/>
      <c r="F46" s="27"/>
      <c r="G46" s="21" t="s">
        <v>92</v>
      </c>
      <c r="H46" s="19" t="s">
        <v>179</v>
      </c>
      <c r="I46" s="19"/>
      <c r="J46" s="27"/>
    </row>
    <row r="47" spans="1:10" x14ac:dyDescent="0.3">
      <c r="A47" s="19"/>
      <c r="B47" s="19" t="s">
        <v>49</v>
      </c>
      <c r="C47" s="19" t="s">
        <v>157</v>
      </c>
      <c r="D47" s="19">
        <v>3</v>
      </c>
      <c r="E47" s="24"/>
      <c r="F47" s="27"/>
      <c r="G47" s="21" t="s">
        <v>92</v>
      </c>
      <c r="H47" s="19" t="s">
        <v>179</v>
      </c>
      <c r="I47" s="19"/>
      <c r="J47" s="27" t="s">
        <v>597</v>
      </c>
    </row>
    <row r="48" spans="1:10" x14ac:dyDescent="0.3">
      <c r="A48" s="19"/>
      <c r="B48" s="19" t="s">
        <v>152</v>
      </c>
      <c r="C48" s="19" t="s">
        <v>155</v>
      </c>
      <c r="D48" s="19">
        <v>3</v>
      </c>
      <c r="E48" s="24"/>
      <c r="F48" s="27"/>
      <c r="G48" s="21" t="s">
        <v>168</v>
      </c>
      <c r="H48" s="19" t="s">
        <v>179</v>
      </c>
      <c r="I48" s="19"/>
      <c r="J48" s="27"/>
    </row>
    <row r="49" spans="1:10" x14ac:dyDescent="0.3">
      <c r="A49" s="19"/>
      <c r="B49" s="19" t="s">
        <v>153</v>
      </c>
      <c r="C49" s="19" t="s">
        <v>156</v>
      </c>
      <c r="D49" s="19">
        <v>3</v>
      </c>
      <c r="E49" s="24"/>
      <c r="F49" s="27"/>
      <c r="G49" s="21" t="s">
        <v>168</v>
      </c>
      <c r="H49" s="19" t="s">
        <v>179</v>
      </c>
      <c r="I49" s="19"/>
      <c r="J49" s="27"/>
    </row>
    <row r="50" spans="1:10" x14ac:dyDescent="0.3">
      <c r="A50" s="19"/>
      <c r="B50" s="19" t="s">
        <v>200</v>
      </c>
      <c r="C50" s="19" t="s">
        <v>202</v>
      </c>
      <c r="D50" s="19">
        <v>3</v>
      </c>
      <c r="E50" s="24"/>
      <c r="F50" s="27"/>
      <c r="G50" s="21" t="s">
        <v>213</v>
      </c>
      <c r="H50" s="19" t="s">
        <v>179</v>
      </c>
      <c r="I50" s="19"/>
      <c r="J50" s="27"/>
    </row>
    <row r="51" spans="1:10" s="17" customFormat="1" x14ac:dyDescent="0.3">
      <c r="A51" s="57" t="s">
        <v>73</v>
      </c>
      <c r="B51" s="57"/>
      <c r="C51" s="57"/>
      <c r="D51" s="30">
        <f>SUM(D45:D50)</f>
        <v>18</v>
      </c>
      <c r="E51" s="25"/>
      <c r="F51" s="28"/>
      <c r="G51" s="22"/>
      <c r="H51" s="30"/>
      <c r="I51" s="30"/>
      <c r="J51" s="28"/>
    </row>
    <row r="52" spans="1:10" x14ac:dyDescent="0.3">
      <c r="A52" s="19"/>
      <c r="B52" s="19"/>
      <c r="C52" s="19"/>
      <c r="D52" s="19"/>
      <c r="E52" s="24"/>
      <c r="F52" s="27" t="s">
        <v>85</v>
      </c>
      <c r="G52" s="21"/>
      <c r="H52" s="19"/>
      <c r="I52" s="19"/>
      <c r="J52" s="27"/>
    </row>
    <row r="53" spans="1:10" x14ac:dyDescent="0.3">
      <c r="A53" s="19"/>
      <c r="B53" s="19" t="s">
        <v>53</v>
      </c>
      <c r="C53" s="19" t="s">
        <v>126</v>
      </c>
      <c r="D53" s="19">
        <v>6</v>
      </c>
      <c r="E53" s="24"/>
      <c r="F53" s="27"/>
      <c r="G53" s="21" t="s">
        <v>92</v>
      </c>
      <c r="H53" s="19" t="s">
        <v>179</v>
      </c>
      <c r="I53" s="19"/>
      <c r="J53" s="27" t="s">
        <v>599</v>
      </c>
    </row>
    <row r="54" spans="1:10" x14ac:dyDescent="0.3">
      <c r="A54" s="58" t="s">
        <v>73</v>
      </c>
      <c r="B54" s="58"/>
      <c r="C54" s="58"/>
      <c r="D54" s="19">
        <f>SUM(D53)</f>
        <v>6</v>
      </c>
      <c r="E54" s="24"/>
      <c r="F54" s="27"/>
      <c r="G54" s="21"/>
      <c r="H54" s="19"/>
      <c r="I54" s="19"/>
      <c r="J54" s="27"/>
    </row>
    <row r="55" spans="1:10" s="17" customFormat="1" x14ac:dyDescent="0.3">
      <c r="A55" s="30"/>
      <c r="B55" s="30"/>
      <c r="C55" s="30"/>
      <c r="D55" s="30"/>
      <c r="E55" s="25" t="s">
        <v>86</v>
      </c>
      <c r="F55" s="28" t="s">
        <v>14</v>
      </c>
      <c r="G55" s="22"/>
      <c r="H55" s="30"/>
      <c r="I55" s="30"/>
      <c r="J55" s="28"/>
    </row>
    <row r="56" spans="1:10" x14ac:dyDescent="0.3">
      <c r="A56" s="19"/>
      <c r="B56" s="19" t="s">
        <v>54</v>
      </c>
      <c r="C56" s="19" t="s">
        <v>80</v>
      </c>
      <c r="D56" s="19">
        <v>3</v>
      </c>
      <c r="E56" s="24"/>
      <c r="F56" s="27"/>
      <c r="G56" s="21" t="s">
        <v>92</v>
      </c>
      <c r="H56" s="19" t="s">
        <v>179</v>
      </c>
      <c r="I56" s="19"/>
      <c r="J56" s="27" t="s">
        <v>591</v>
      </c>
    </row>
    <row r="57" spans="1:10" x14ac:dyDescent="0.3">
      <c r="A57" s="19"/>
      <c r="B57" s="19" t="s">
        <v>55</v>
      </c>
      <c r="C57" s="19" t="s">
        <v>79</v>
      </c>
      <c r="D57" s="19">
        <v>3</v>
      </c>
      <c r="E57" s="24"/>
      <c r="F57" s="27"/>
      <c r="G57" s="21" t="s">
        <v>92</v>
      </c>
      <c r="H57" s="19" t="s">
        <v>179</v>
      </c>
      <c r="I57" s="19"/>
      <c r="J57" s="27" t="s">
        <v>591</v>
      </c>
    </row>
    <row r="58" spans="1:10" x14ac:dyDescent="0.3">
      <c r="A58" s="19"/>
      <c r="B58" s="19" t="s">
        <v>160</v>
      </c>
      <c r="C58" s="19" t="s">
        <v>162</v>
      </c>
      <c r="D58" s="19">
        <v>3</v>
      </c>
      <c r="E58" s="24"/>
      <c r="F58" s="27"/>
      <c r="G58" s="21" t="s">
        <v>168</v>
      </c>
      <c r="H58" s="19" t="s">
        <v>179</v>
      </c>
      <c r="I58" s="19"/>
      <c r="J58" s="27"/>
    </row>
    <row r="59" spans="1:10" x14ac:dyDescent="0.3">
      <c r="A59" s="19"/>
      <c r="B59" s="19" t="s">
        <v>161</v>
      </c>
      <c r="C59" s="19" t="s">
        <v>163</v>
      </c>
      <c r="D59" s="19">
        <v>3</v>
      </c>
      <c r="E59" s="24"/>
      <c r="F59" s="27"/>
      <c r="G59" s="21" t="s">
        <v>168</v>
      </c>
      <c r="H59" s="19" t="s">
        <v>179</v>
      </c>
      <c r="I59" s="19"/>
      <c r="J59" s="27"/>
    </row>
    <row r="60" spans="1:10" x14ac:dyDescent="0.3">
      <c r="A60" s="19"/>
      <c r="B60" s="19" t="s">
        <v>203</v>
      </c>
      <c r="C60" s="19" t="s">
        <v>206</v>
      </c>
      <c r="D60" s="19">
        <v>3</v>
      </c>
      <c r="E60" s="24"/>
      <c r="F60" s="27"/>
      <c r="G60" s="21" t="s">
        <v>213</v>
      </c>
      <c r="H60" s="19" t="s">
        <v>179</v>
      </c>
      <c r="I60" s="19"/>
      <c r="J60" s="27"/>
    </row>
    <row r="61" spans="1:10" x14ac:dyDescent="0.3">
      <c r="A61" s="19"/>
      <c r="B61" s="19" t="s">
        <v>632</v>
      </c>
      <c r="C61" s="19" t="s">
        <v>207</v>
      </c>
      <c r="D61" s="19">
        <v>3</v>
      </c>
      <c r="E61" s="24"/>
      <c r="F61" s="27"/>
      <c r="G61" s="21" t="s">
        <v>213</v>
      </c>
      <c r="H61" s="19" t="s">
        <v>179</v>
      </c>
      <c r="I61" s="19"/>
      <c r="J61" s="27"/>
    </row>
    <row r="62" spans="1:10" s="17" customFormat="1" x14ac:dyDescent="0.3">
      <c r="A62" s="57" t="s">
        <v>73</v>
      </c>
      <c r="B62" s="57"/>
      <c r="C62" s="57"/>
      <c r="D62" s="30">
        <f>SUM(D56:D61)</f>
        <v>18</v>
      </c>
      <c r="E62" s="25"/>
      <c r="F62" s="28"/>
      <c r="G62" s="22"/>
      <c r="H62" s="30"/>
      <c r="I62" s="30"/>
      <c r="J62" s="28"/>
    </row>
    <row r="63" spans="1:10" x14ac:dyDescent="0.3">
      <c r="A63" s="19"/>
      <c r="B63" s="19"/>
      <c r="C63" s="19"/>
      <c r="D63" s="19"/>
      <c r="E63" s="24"/>
      <c r="F63" s="27" t="s">
        <v>81</v>
      </c>
      <c r="G63" s="21"/>
      <c r="H63" s="19"/>
      <c r="I63" s="19"/>
      <c r="J63" s="27"/>
    </row>
    <row r="64" spans="1:10" x14ac:dyDescent="0.3">
      <c r="A64" s="19"/>
      <c r="B64" s="19" t="s">
        <v>61</v>
      </c>
      <c r="C64" s="19" t="s">
        <v>72</v>
      </c>
      <c r="D64" s="19">
        <v>2</v>
      </c>
      <c r="E64" s="24"/>
      <c r="F64" s="27"/>
      <c r="G64" s="21" t="s">
        <v>92</v>
      </c>
      <c r="H64" s="19" t="s">
        <v>179</v>
      </c>
      <c r="I64" s="19"/>
      <c r="J64" s="27" t="s">
        <v>591</v>
      </c>
    </row>
    <row r="65" spans="1:10" x14ac:dyDescent="0.3">
      <c r="A65" s="19"/>
      <c r="B65" s="19" t="s">
        <v>62</v>
      </c>
      <c r="C65" s="19" t="s">
        <v>71</v>
      </c>
      <c r="D65" s="19">
        <v>3</v>
      </c>
      <c r="E65" s="24"/>
      <c r="F65" s="27"/>
      <c r="G65" s="21" t="s">
        <v>92</v>
      </c>
      <c r="H65" s="19" t="s">
        <v>179</v>
      </c>
      <c r="I65" s="19"/>
      <c r="J65" s="27" t="s">
        <v>591</v>
      </c>
    </row>
    <row r="66" spans="1:10" x14ac:dyDescent="0.3">
      <c r="A66" s="19"/>
      <c r="B66" s="19" t="s">
        <v>164</v>
      </c>
      <c r="C66" s="19" t="s">
        <v>165</v>
      </c>
      <c r="D66" s="19">
        <v>3</v>
      </c>
      <c r="E66" s="24"/>
      <c r="F66" s="27"/>
      <c r="G66" s="21" t="s">
        <v>168</v>
      </c>
      <c r="H66" s="19" t="s">
        <v>179</v>
      </c>
      <c r="I66" s="19"/>
      <c r="J66" s="27"/>
    </row>
    <row r="67" spans="1:10" x14ac:dyDescent="0.3">
      <c r="A67" s="19"/>
      <c r="B67" s="19" t="s">
        <v>209</v>
      </c>
      <c r="C67" s="19" t="s">
        <v>211</v>
      </c>
      <c r="D67" s="19">
        <v>3</v>
      </c>
      <c r="E67" s="24"/>
      <c r="F67" s="27"/>
      <c r="G67" s="21" t="s">
        <v>213</v>
      </c>
      <c r="H67" s="19" t="s">
        <v>179</v>
      </c>
      <c r="I67" s="19"/>
      <c r="J67" s="27"/>
    </row>
    <row r="68" spans="1:10" x14ac:dyDescent="0.3">
      <c r="A68" s="19"/>
      <c r="B68" s="19" t="s">
        <v>139</v>
      </c>
      <c r="C68" s="19" t="s">
        <v>144</v>
      </c>
      <c r="D68" s="19">
        <v>3</v>
      </c>
      <c r="E68" s="24"/>
      <c r="F68" s="27"/>
      <c r="G68" s="21" t="s">
        <v>168</v>
      </c>
      <c r="H68" s="19" t="s">
        <v>179</v>
      </c>
      <c r="I68" s="19"/>
      <c r="J68" s="27"/>
    </row>
    <row r="69" spans="1:10" x14ac:dyDescent="0.3">
      <c r="A69" s="19"/>
      <c r="B69" s="19" t="s">
        <v>210</v>
      </c>
      <c r="C69" s="19" t="s">
        <v>212</v>
      </c>
      <c r="D69" s="19">
        <v>3</v>
      </c>
      <c r="E69" s="24"/>
      <c r="F69" s="27"/>
      <c r="G69" s="21" t="s">
        <v>213</v>
      </c>
      <c r="H69" s="19" t="s">
        <v>179</v>
      </c>
      <c r="I69" s="19"/>
      <c r="J69" s="27"/>
    </row>
    <row r="70" spans="1:10" s="17" customFormat="1" x14ac:dyDescent="0.3">
      <c r="A70" s="57" t="s">
        <v>73</v>
      </c>
      <c r="B70" s="57"/>
      <c r="C70" s="57"/>
      <c r="D70" s="30">
        <f>SUM(D64:D69)</f>
        <v>17</v>
      </c>
      <c r="E70" s="25"/>
      <c r="F70" s="28"/>
      <c r="G70" s="22"/>
      <c r="H70" s="30"/>
      <c r="I70" s="30"/>
      <c r="J70" s="28"/>
    </row>
    <row r="72" spans="1:10" x14ac:dyDescent="0.3">
      <c r="A72" t="s">
        <v>603</v>
      </c>
    </row>
    <row r="73" spans="1:10" x14ac:dyDescent="0.3">
      <c r="A73" t="s">
        <v>608</v>
      </c>
      <c r="B73">
        <f>SUMIF(G1:G70,G26,D1:D70)</f>
        <v>6</v>
      </c>
    </row>
    <row r="74" spans="1:10" x14ac:dyDescent="0.3">
      <c r="A74" t="s">
        <v>613</v>
      </c>
      <c r="B74">
        <f>SUMIF(G1:G70,G69,D1:D70)</f>
        <v>45</v>
      </c>
    </row>
    <row r="75" spans="1:10" x14ac:dyDescent="0.3">
      <c r="A75" t="s">
        <v>616</v>
      </c>
      <c r="B75">
        <f ca="1">SUMIF(G1:G70,G66,D1:D69)</f>
        <v>42</v>
      </c>
    </row>
    <row r="76" spans="1:10" x14ac:dyDescent="0.3">
      <c r="A76" t="s">
        <v>92</v>
      </c>
      <c r="B76">
        <f>SUMIF(G1:G70,G65,D1:D70)</f>
        <v>55</v>
      </c>
    </row>
    <row r="77" spans="1:10" x14ac:dyDescent="0.3">
      <c r="A77" t="s">
        <v>610</v>
      </c>
      <c r="B77">
        <f ca="1">SUM(B73:B76)</f>
        <v>148</v>
      </c>
    </row>
    <row r="80" spans="1:10" x14ac:dyDescent="0.3">
      <c r="A80" t="s">
        <v>604</v>
      </c>
    </row>
    <row r="81" spans="1:2" x14ac:dyDescent="0.3">
      <c r="A81" t="s">
        <v>605</v>
      </c>
      <c r="B81" t="s">
        <v>606</v>
      </c>
    </row>
    <row r="82" spans="1:2" x14ac:dyDescent="0.3">
      <c r="A82" t="s">
        <v>607</v>
      </c>
      <c r="B82" t="s">
        <v>606</v>
      </c>
    </row>
  </sheetData>
  <mergeCells count="9">
    <mergeCell ref="A54:C54"/>
    <mergeCell ref="A62:C62"/>
    <mergeCell ref="A70:C70"/>
    <mergeCell ref="A9:C9"/>
    <mergeCell ref="A18:C18"/>
    <mergeCell ref="A27:C27"/>
    <mergeCell ref="A35:C35"/>
    <mergeCell ref="A43:C43"/>
    <mergeCell ref="A51:C5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opLeftCell="A64" zoomScaleNormal="100" workbookViewId="0">
      <selection activeCell="A73" sqref="A73:B83"/>
    </sheetView>
  </sheetViews>
  <sheetFormatPr defaultRowHeight="14.4" x14ac:dyDescent="0.3"/>
  <cols>
    <col min="2" max="2" width="12.109375" bestFit="1" customWidth="1"/>
    <col min="3" max="3" width="51.5546875" bestFit="1" customWidth="1"/>
    <col min="4" max="4" width="20.33203125" bestFit="1" customWidth="1"/>
    <col min="5" max="5" width="10.109375" style="1" bestFit="1" customWidth="1"/>
    <col min="6" max="6" width="14.88671875" style="2" bestFit="1" customWidth="1"/>
    <col min="7" max="7" width="30.44140625" style="3" bestFit="1" customWidth="1"/>
    <col min="8" max="8" width="39.109375" bestFit="1" customWidth="1"/>
    <col min="9" max="9" width="5.6640625" bestFit="1" customWidth="1"/>
    <col min="10" max="10" width="158.88671875" style="2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1" t="s">
        <v>7</v>
      </c>
      <c r="I1" s="11" t="s">
        <v>8</v>
      </c>
      <c r="J1" s="13" t="s">
        <v>9</v>
      </c>
    </row>
    <row r="2" spans="1:10" x14ac:dyDescent="0.3">
      <c r="A2" s="11" t="s">
        <v>217</v>
      </c>
      <c r="B2" s="11" t="s">
        <v>10</v>
      </c>
      <c r="C2" s="11" t="s">
        <v>11</v>
      </c>
      <c r="D2" s="11" t="s">
        <v>12</v>
      </c>
      <c r="E2" s="12" t="s">
        <v>13</v>
      </c>
      <c r="F2" s="13" t="s">
        <v>14</v>
      </c>
      <c r="G2" s="21"/>
      <c r="H2" s="19"/>
      <c r="I2" s="19"/>
      <c r="J2" s="27"/>
    </row>
    <row r="3" spans="1:10" x14ac:dyDescent="0.3">
      <c r="A3" s="19"/>
      <c r="B3" s="19" t="s">
        <v>16</v>
      </c>
      <c r="C3" s="19" t="s">
        <v>87</v>
      </c>
      <c r="D3" s="19">
        <v>3</v>
      </c>
      <c r="E3" s="24"/>
      <c r="F3" s="27"/>
      <c r="G3" s="21" t="s">
        <v>92</v>
      </c>
      <c r="H3" s="19" t="s">
        <v>179</v>
      </c>
      <c r="I3" s="19"/>
      <c r="J3" s="27"/>
    </row>
    <row r="4" spans="1:10" x14ac:dyDescent="0.3">
      <c r="A4" s="19"/>
      <c r="B4" s="19" t="s">
        <v>29</v>
      </c>
      <c r="C4" s="19" t="s">
        <v>89</v>
      </c>
      <c r="D4" s="19">
        <v>2</v>
      </c>
      <c r="E4" s="24"/>
      <c r="F4" s="27"/>
      <c r="G4" s="21" t="s">
        <v>92</v>
      </c>
      <c r="H4" s="19" t="s">
        <v>179</v>
      </c>
      <c r="I4" s="19"/>
      <c r="J4" s="27"/>
    </row>
    <row r="5" spans="1:10" x14ac:dyDescent="0.3">
      <c r="A5" s="19"/>
      <c r="B5" s="19" t="s">
        <v>17</v>
      </c>
      <c r="C5" s="19" t="s">
        <v>88</v>
      </c>
      <c r="D5" s="19">
        <v>3</v>
      </c>
      <c r="E5" s="24"/>
      <c r="F5" s="27"/>
      <c r="G5" s="21" t="s">
        <v>102</v>
      </c>
      <c r="H5" s="19" t="s">
        <v>179</v>
      </c>
      <c r="I5" s="19"/>
      <c r="J5" s="27"/>
    </row>
    <row r="6" spans="1:10" x14ac:dyDescent="0.3">
      <c r="A6" s="19"/>
      <c r="B6" s="19" t="s">
        <v>218</v>
      </c>
      <c r="C6" s="19" t="s">
        <v>222</v>
      </c>
      <c r="D6" s="19">
        <v>3</v>
      </c>
      <c r="E6" s="24"/>
      <c r="F6" s="27"/>
      <c r="G6" s="21" t="s">
        <v>226</v>
      </c>
      <c r="H6" s="19" t="s">
        <v>179</v>
      </c>
      <c r="I6" s="19"/>
      <c r="J6" s="27"/>
    </row>
    <row r="7" spans="1:10" x14ac:dyDescent="0.3">
      <c r="A7" s="19"/>
      <c r="B7" s="19" t="s">
        <v>219</v>
      </c>
      <c r="C7" s="19" t="s">
        <v>223</v>
      </c>
      <c r="D7" s="19">
        <v>2</v>
      </c>
      <c r="E7" s="24"/>
      <c r="F7" s="27"/>
      <c r="G7" s="21" t="s">
        <v>227</v>
      </c>
      <c r="H7" s="19" t="s">
        <v>179</v>
      </c>
      <c r="I7" s="19"/>
      <c r="J7" s="27"/>
    </row>
    <row r="8" spans="1:10" x14ac:dyDescent="0.3">
      <c r="A8" s="19"/>
      <c r="B8" s="19" t="s">
        <v>220</v>
      </c>
      <c r="C8" s="19" t="s">
        <v>224</v>
      </c>
      <c r="D8" s="19">
        <v>3</v>
      </c>
      <c r="E8" s="24"/>
      <c r="F8" s="27"/>
      <c r="G8" s="21" t="s">
        <v>226</v>
      </c>
      <c r="H8" s="19" t="s">
        <v>179</v>
      </c>
      <c r="I8" s="19"/>
      <c r="J8" s="27"/>
    </row>
    <row r="9" spans="1:10" x14ac:dyDescent="0.3">
      <c r="A9" s="19"/>
      <c r="B9" s="19" t="s">
        <v>221</v>
      </c>
      <c r="C9" s="19" t="s">
        <v>225</v>
      </c>
      <c r="D9" s="19">
        <v>3</v>
      </c>
      <c r="E9" s="24"/>
      <c r="F9" s="27"/>
      <c r="G9" s="21" t="s">
        <v>227</v>
      </c>
      <c r="H9" s="19" t="s">
        <v>179</v>
      </c>
      <c r="I9" s="19"/>
      <c r="J9" s="27"/>
    </row>
    <row r="10" spans="1:10" s="17" customFormat="1" x14ac:dyDescent="0.3">
      <c r="A10" s="57" t="s">
        <v>73</v>
      </c>
      <c r="B10" s="57"/>
      <c r="C10" s="57"/>
      <c r="D10" s="30">
        <f>SUM(D3:D9)</f>
        <v>19</v>
      </c>
      <c r="E10" s="25"/>
      <c r="F10" s="28"/>
      <c r="G10" s="22"/>
      <c r="H10" s="30"/>
      <c r="I10" s="30"/>
      <c r="J10" s="28"/>
    </row>
    <row r="11" spans="1:10" x14ac:dyDescent="0.3">
      <c r="A11" s="19"/>
      <c r="B11" s="19"/>
      <c r="C11" s="19"/>
      <c r="D11" s="19"/>
      <c r="E11" s="24"/>
      <c r="F11" s="27" t="s">
        <v>215</v>
      </c>
      <c r="G11" s="21"/>
      <c r="H11" s="19"/>
      <c r="I11" s="19"/>
      <c r="J11" s="27"/>
    </row>
    <row r="12" spans="1:10" x14ac:dyDescent="0.3">
      <c r="A12" s="19"/>
      <c r="B12" s="19" t="s">
        <v>22</v>
      </c>
      <c r="C12" s="19" t="s">
        <v>95</v>
      </c>
      <c r="D12" s="19">
        <v>2</v>
      </c>
      <c r="E12" s="24"/>
      <c r="F12" s="27"/>
      <c r="G12" s="21" t="s">
        <v>92</v>
      </c>
      <c r="H12" s="19" t="s">
        <v>179</v>
      </c>
      <c r="I12" s="19"/>
      <c r="J12" s="27"/>
    </row>
    <row r="13" spans="1:10" x14ac:dyDescent="0.3">
      <c r="A13" s="19"/>
      <c r="B13" s="19" t="s">
        <v>23</v>
      </c>
      <c r="C13" s="19" t="s">
        <v>96</v>
      </c>
      <c r="D13" s="19">
        <v>2</v>
      </c>
      <c r="E13" s="24"/>
      <c r="F13" s="27"/>
      <c r="G13" s="21" t="s">
        <v>92</v>
      </c>
      <c r="H13" s="19" t="s">
        <v>179</v>
      </c>
      <c r="I13" s="19"/>
      <c r="J13" s="27" t="s">
        <v>592</v>
      </c>
    </row>
    <row r="14" spans="1:10" x14ac:dyDescent="0.3">
      <c r="A14" s="19"/>
      <c r="B14" s="19" t="s">
        <v>25</v>
      </c>
      <c r="C14" s="19" t="s">
        <v>171</v>
      </c>
      <c r="D14" s="19">
        <v>2</v>
      </c>
      <c r="E14" s="24"/>
      <c r="F14" s="27"/>
      <c r="G14" s="21" t="s">
        <v>102</v>
      </c>
      <c r="H14" s="19" t="s">
        <v>179</v>
      </c>
      <c r="I14" s="19"/>
      <c r="J14" s="27"/>
    </row>
    <row r="15" spans="1:10" x14ac:dyDescent="0.3">
      <c r="A15" s="19"/>
      <c r="B15" s="19" t="s">
        <v>228</v>
      </c>
      <c r="C15" s="19" t="s">
        <v>247</v>
      </c>
      <c r="D15" s="19">
        <v>3</v>
      </c>
      <c r="E15" s="24"/>
      <c r="F15" s="27"/>
      <c r="G15" s="21" t="s">
        <v>226</v>
      </c>
      <c r="H15" s="19" t="s">
        <v>179</v>
      </c>
      <c r="I15" s="19"/>
      <c r="J15" s="27"/>
    </row>
    <row r="16" spans="1:10" x14ac:dyDescent="0.3">
      <c r="A16" s="19"/>
      <c r="B16" s="19" t="s">
        <v>229</v>
      </c>
      <c r="C16" s="19" t="s">
        <v>232</v>
      </c>
      <c r="D16" s="19">
        <v>3</v>
      </c>
      <c r="E16" s="24"/>
      <c r="F16" s="27"/>
      <c r="G16" s="21" t="s">
        <v>227</v>
      </c>
      <c r="H16" s="19" t="s">
        <v>179</v>
      </c>
      <c r="I16" s="19"/>
      <c r="J16" s="27"/>
    </row>
    <row r="17" spans="1:10" x14ac:dyDescent="0.3">
      <c r="A17" s="19"/>
      <c r="B17" s="19" t="s">
        <v>230</v>
      </c>
      <c r="C17" s="19" t="s">
        <v>233</v>
      </c>
      <c r="D17" s="19">
        <v>3</v>
      </c>
      <c r="E17" s="24"/>
      <c r="F17" s="27"/>
      <c r="G17" s="21" t="s">
        <v>226</v>
      </c>
      <c r="H17" s="19" t="s">
        <v>179</v>
      </c>
      <c r="I17" s="19"/>
      <c r="J17" s="27"/>
    </row>
    <row r="18" spans="1:10" x14ac:dyDescent="0.3">
      <c r="A18" s="19"/>
      <c r="B18" s="19" t="s">
        <v>231</v>
      </c>
      <c r="C18" s="19" t="s">
        <v>166</v>
      </c>
      <c r="D18" s="19">
        <v>3</v>
      </c>
      <c r="E18" s="24"/>
      <c r="F18" s="27"/>
      <c r="G18" s="21" t="s">
        <v>102</v>
      </c>
      <c r="H18" s="19" t="s">
        <v>179</v>
      </c>
      <c r="I18" s="19"/>
      <c r="J18" s="27"/>
    </row>
    <row r="19" spans="1:10" s="17" customFormat="1" x14ac:dyDescent="0.3">
      <c r="A19" s="57" t="s">
        <v>73</v>
      </c>
      <c r="B19" s="57"/>
      <c r="C19" s="57"/>
      <c r="D19" s="30">
        <f>SUM(D12:D18)</f>
        <v>18</v>
      </c>
      <c r="E19" s="25"/>
      <c r="F19" s="28"/>
      <c r="G19" s="22"/>
      <c r="H19" s="30"/>
      <c r="I19" s="30"/>
      <c r="J19" s="28"/>
    </row>
    <row r="20" spans="1:10" x14ac:dyDescent="0.3">
      <c r="A20" s="19"/>
      <c r="B20" s="19"/>
      <c r="C20" s="19"/>
      <c r="D20" s="19"/>
      <c r="E20" s="24" t="s">
        <v>136</v>
      </c>
      <c r="F20" s="27" t="s">
        <v>14</v>
      </c>
      <c r="G20" s="21"/>
      <c r="H20" s="19"/>
      <c r="I20" s="19"/>
      <c r="J20" s="27"/>
    </row>
    <row r="21" spans="1:10" x14ac:dyDescent="0.3">
      <c r="A21" s="19"/>
      <c r="B21" s="19" t="s">
        <v>30</v>
      </c>
      <c r="C21" s="19" t="s">
        <v>103</v>
      </c>
      <c r="D21" s="19">
        <v>3</v>
      </c>
      <c r="E21" s="24"/>
      <c r="F21" s="27"/>
      <c r="G21" s="21" t="s">
        <v>92</v>
      </c>
      <c r="H21" s="19" t="s">
        <v>179</v>
      </c>
      <c r="I21" s="19"/>
      <c r="J21" s="27" t="s">
        <v>594</v>
      </c>
    </row>
    <row r="22" spans="1:10" x14ac:dyDescent="0.3">
      <c r="A22" s="19"/>
      <c r="B22" s="19" t="s">
        <v>31</v>
      </c>
      <c r="C22" s="19" t="s">
        <v>104</v>
      </c>
      <c r="D22" s="19">
        <v>3</v>
      </c>
      <c r="E22" s="24"/>
      <c r="F22" s="27"/>
      <c r="G22" s="21" t="s">
        <v>92</v>
      </c>
      <c r="H22" s="19" t="s">
        <v>179</v>
      </c>
      <c r="I22" s="19"/>
      <c r="J22" s="27"/>
    </row>
    <row r="23" spans="1:10" x14ac:dyDescent="0.3">
      <c r="A23" s="19"/>
      <c r="B23" s="19" t="s">
        <v>58</v>
      </c>
      <c r="C23" s="19" t="s">
        <v>173</v>
      </c>
      <c r="D23" s="19">
        <v>2</v>
      </c>
      <c r="E23" s="24"/>
      <c r="F23" s="27"/>
      <c r="G23" s="21" t="s">
        <v>92</v>
      </c>
      <c r="H23" s="19" t="s">
        <v>179</v>
      </c>
      <c r="I23" s="19"/>
      <c r="J23" s="27"/>
    </row>
    <row r="24" spans="1:10" x14ac:dyDescent="0.3">
      <c r="A24" s="19"/>
      <c r="B24" s="19" t="s">
        <v>234</v>
      </c>
      <c r="C24" s="19" t="s">
        <v>239</v>
      </c>
      <c r="D24" s="19">
        <v>3</v>
      </c>
      <c r="E24" s="24"/>
      <c r="F24" s="27"/>
      <c r="G24" s="21" t="s">
        <v>226</v>
      </c>
      <c r="H24" s="19" t="s">
        <v>179</v>
      </c>
      <c r="I24" s="19"/>
      <c r="J24" s="27"/>
    </row>
    <row r="25" spans="1:10" x14ac:dyDescent="0.3">
      <c r="A25" s="19"/>
      <c r="B25" s="19" t="s">
        <v>235</v>
      </c>
      <c r="C25" s="19" t="s">
        <v>238</v>
      </c>
      <c r="D25" s="19">
        <v>3</v>
      </c>
      <c r="E25" s="24"/>
      <c r="F25" s="27"/>
      <c r="G25" s="21" t="s">
        <v>226</v>
      </c>
      <c r="H25" s="19" t="s">
        <v>179</v>
      </c>
      <c r="I25" s="19"/>
      <c r="J25" s="27"/>
    </row>
    <row r="26" spans="1:10" x14ac:dyDescent="0.3">
      <c r="A26" s="19"/>
      <c r="B26" s="19" t="s">
        <v>236</v>
      </c>
      <c r="C26" s="19" t="s">
        <v>237</v>
      </c>
      <c r="D26" s="19">
        <v>3</v>
      </c>
      <c r="E26" s="24"/>
      <c r="F26" s="27"/>
      <c r="G26" s="21" t="s">
        <v>227</v>
      </c>
      <c r="H26" s="19" t="s">
        <v>179</v>
      </c>
      <c r="I26" s="19"/>
      <c r="J26" s="27"/>
    </row>
    <row r="27" spans="1:10" x14ac:dyDescent="0.3">
      <c r="A27" s="19"/>
      <c r="B27" s="19" t="s">
        <v>24</v>
      </c>
      <c r="C27" s="19" t="s">
        <v>170</v>
      </c>
      <c r="D27" s="19">
        <v>1</v>
      </c>
      <c r="E27" s="24"/>
      <c r="F27" s="27"/>
      <c r="G27" s="21" t="s">
        <v>102</v>
      </c>
      <c r="H27" s="19" t="s">
        <v>179</v>
      </c>
      <c r="I27" s="19"/>
      <c r="J27" s="27"/>
    </row>
    <row r="28" spans="1:10" s="17" customFormat="1" x14ac:dyDescent="0.3">
      <c r="A28" s="57" t="s">
        <v>73</v>
      </c>
      <c r="B28" s="57"/>
      <c r="C28" s="57"/>
      <c r="D28" s="30">
        <f>SUM(D21:D27)</f>
        <v>18</v>
      </c>
      <c r="E28" s="25"/>
      <c r="F28" s="28"/>
      <c r="G28" s="22"/>
      <c r="H28" s="30"/>
      <c r="I28" s="30"/>
      <c r="J28" s="28"/>
    </row>
    <row r="29" spans="1:10" x14ac:dyDescent="0.3">
      <c r="A29" s="19"/>
      <c r="B29" s="19"/>
      <c r="C29" s="19"/>
      <c r="D29" s="19"/>
      <c r="E29" s="24"/>
      <c r="F29" s="27" t="s">
        <v>215</v>
      </c>
      <c r="G29" s="21"/>
      <c r="H29" s="19"/>
      <c r="I29" s="19"/>
      <c r="J29" s="27"/>
    </row>
    <row r="30" spans="1:10" x14ac:dyDescent="0.3">
      <c r="A30" s="19"/>
      <c r="B30" s="19" t="s">
        <v>35</v>
      </c>
      <c r="C30" s="19" t="s">
        <v>110</v>
      </c>
      <c r="D30" s="19">
        <v>3</v>
      </c>
      <c r="E30" s="24"/>
      <c r="F30" s="27"/>
      <c r="G30" s="21" t="s">
        <v>92</v>
      </c>
      <c r="H30" s="19" t="s">
        <v>179</v>
      </c>
      <c r="I30" s="19"/>
      <c r="J30" s="27" t="s">
        <v>595</v>
      </c>
    </row>
    <row r="31" spans="1:10" x14ac:dyDescent="0.3">
      <c r="A31" s="19"/>
      <c r="B31" s="19" t="s">
        <v>36</v>
      </c>
      <c r="C31" s="19" t="s">
        <v>111</v>
      </c>
      <c r="D31" s="19">
        <v>3</v>
      </c>
      <c r="E31" s="24"/>
      <c r="F31" s="27"/>
      <c r="G31" s="21" t="s">
        <v>92</v>
      </c>
      <c r="H31" s="19" t="s">
        <v>179</v>
      </c>
      <c r="I31" s="19"/>
      <c r="J31" s="27"/>
    </row>
    <row r="32" spans="1:10" x14ac:dyDescent="0.3">
      <c r="A32" s="19"/>
      <c r="B32" s="19" t="s">
        <v>240</v>
      </c>
      <c r="C32" s="19" t="s">
        <v>244</v>
      </c>
      <c r="D32" s="19">
        <v>3</v>
      </c>
      <c r="E32" s="24"/>
      <c r="F32" s="27"/>
      <c r="G32" s="21" t="s">
        <v>226</v>
      </c>
      <c r="H32" s="19" t="s">
        <v>179</v>
      </c>
      <c r="I32" s="19"/>
      <c r="J32" s="27"/>
    </row>
    <row r="33" spans="1:10" x14ac:dyDescent="0.3">
      <c r="A33" s="19"/>
      <c r="B33" s="19" t="s">
        <v>241</v>
      </c>
      <c r="C33" s="19" t="s">
        <v>245</v>
      </c>
      <c r="D33" s="19">
        <v>3</v>
      </c>
      <c r="E33" s="24"/>
      <c r="F33" s="27"/>
      <c r="G33" s="21" t="s">
        <v>227</v>
      </c>
      <c r="H33" s="19" t="s">
        <v>179</v>
      </c>
      <c r="I33" s="19"/>
      <c r="J33" s="27"/>
    </row>
    <row r="34" spans="1:10" x14ac:dyDescent="0.3">
      <c r="A34" s="19"/>
      <c r="B34" s="19" t="s">
        <v>242</v>
      </c>
      <c r="C34" s="19" t="s">
        <v>246</v>
      </c>
      <c r="D34" s="19">
        <v>3</v>
      </c>
      <c r="E34" s="24"/>
      <c r="F34" s="27"/>
      <c r="G34" s="21" t="s">
        <v>226</v>
      </c>
      <c r="H34" s="19" t="s">
        <v>179</v>
      </c>
      <c r="I34" s="19"/>
      <c r="J34" s="27"/>
    </row>
    <row r="35" spans="1:10" x14ac:dyDescent="0.3">
      <c r="A35" s="19"/>
      <c r="B35" s="19" t="s">
        <v>243</v>
      </c>
      <c r="C35" s="19" t="s">
        <v>248</v>
      </c>
      <c r="D35" s="19">
        <v>3</v>
      </c>
      <c r="E35" s="24"/>
      <c r="F35" s="27"/>
      <c r="G35" s="21" t="s">
        <v>227</v>
      </c>
      <c r="H35" s="19" t="s">
        <v>179</v>
      </c>
      <c r="I35" s="19"/>
      <c r="J35" s="27"/>
    </row>
    <row r="36" spans="1:10" s="17" customFormat="1" x14ac:dyDescent="0.3">
      <c r="A36" s="57" t="s">
        <v>73</v>
      </c>
      <c r="B36" s="57"/>
      <c r="C36" s="57"/>
      <c r="D36" s="30">
        <f>SUM(D30:D35)</f>
        <v>18</v>
      </c>
      <c r="E36" s="25"/>
      <c r="F36" s="28"/>
      <c r="G36" s="22"/>
      <c r="H36" s="30"/>
      <c r="I36" s="30"/>
      <c r="J36" s="28"/>
    </row>
    <row r="37" spans="1:10" x14ac:dyDescent="0.3">
      <c r="A37" s="19"/>
      <c r="B37" s="19"/>
      <c r="C37" s="19"/>
      <c r="D37" s="19"/>
      <c r="E37" s="24" t="s">
        <v>174</v>
      </c>
      <c r="F37" s="27" t="s">
        <v>14</v>
      </c>
      <c r="G37" s="21"/>
      <c r="H37" s="19"/>
      <c r="I37" s="19"/>
      <c r="J37" s="27"/>
    </row>
    <row r="38" spans="1:10" x14ac:dyDescent="0.3">
      <c r="A38" s="19"/>
      <c r="B38" s="19" t="s">
        <v>41</v>
      </c>
      <c r="C38" s="19" t="s">
        <v>147</v>
      </c>
      <c r="D38" s="19">
        <v>3</v>
      </c>
      <c r="E38" s="24"/>
      <c r="F38" s="27"/>
      <c r="G38" s="21" t="s">
        <v>92</v>
      </c>
      <c r="H38" s="19" t="s">
        <v>179</v>
      </c>
      <c r="I38" s="19"/>
      <c r="J38" s="27" t="s">
        <v>596</v>
      </c>
    </row>
    <row r="39" spans="1:10" x14ac:dyDescent="0.3">
      <c r="A39" s="19"/>
      <c r="B39" s="19" t="s">
        <v>42</v>
      </c>
      <c r="C39" s="19" t="s">
        <v>117</v>
      </c>
      <c r="D39" s="19">
        <v>3</v>
      </c>
      <c r="E39" s="24"/>
      <c r="F39" s="27"/>
      <c r="G39" s="21" t="s">
        <v>92</v>
      </c>
      <c r="H39" s="19" t="s">
        <v>179</v>
      </c>
      <c r="I39" s="19"/>
      <c r="J39" s="27" t="s">
        <v>598</v>
      </c>
    </row>
    <row r="40" spans="1:10" x14ac:dyDescent="0.3">
      <c r="A40" s="19"/>
      <c r="B40" s="19" t="s">
        <v>60</v>
      </c>
      <c r="C40" s="19" t="s">
        <v>252</v>
      </c>
      <c r="D40" s="19">
        <v>2</v>
      </c>
      <c r="E40" s="24"/>
      <c r="F40" s="27"/>
      <c r="G40" s="21" t="s">
        <v>102</v>
      </c>
      <c r="H40" s="19" t="s">
        <v>179</v>
      </c>
      <c r="I40" s="19"/>
      <c r="J40" s="27"/>
    </row>
    <row r="41" spans="1:10" x14ac:dyDescent="0.3">
      <c r="A41" s="19"/>
      <c r="B41" s="19" t="s">
        <v>249</v>
      </c>
      <c r="C41" s="19" t="s">
        <v>253</v>
      </c>
      <c r="D41" s="19">
        <v>3</v>
      </c>
      <c r="E41" s="24"/>
      <c r="F41" s="27"/>
      <c r="G41" s="21" t="s">
        <v>227</v>
      </c>
      <c r="H41" s="19" t="s">
        <v>179</v>
      </c>
      <c r="I41" s="19"/>
      <c r="J41" s="27"/>
    </row>
    <row r="42" spans="1:10" x14ac:dyDescent="0.3">
      <c r="A42" s="19"/>
      <c r="B42" s="19" t="s">
        <v>250</v>
      </c>
      <c r="C42" s="19" t="s">
        <v>254</v>
      </c>
      <c r="D42" s="19">
        <v>3</v>
      </c>
      <c r="E42" s="24"/>
      <c r="F42" s="27"/>
      <c r="G42" s="21" t="s">
        <v>226</v>
      </c>
      <c r="H42" s="19" t="s">
        <v>179</v>
      </c>
      <c r="I42" s="19"/>
      <c r="J42" s="27"/>
    </row>
    <row r="43" spans="1:10" x14ac:dyDescent="0.3">
      <c r="A43" s="19"/>
      <c r="B43" s="19" t="s">
        <v>251</v>
      </c>
      <c r="C43" s="19" t="s">
        <v>255</v>
      </c>
      <c r="D43" s="19">
        <v>3</v>
      </c>
      <c r="E43" s="24"/>
      <c r="F43" s="27"/>
      <c r="G43" s="21" t="s">
        <v>227</v>
      </c>
      <c r="H43" s="19" t="s">
        <v>179</v>
      </c>
      <c r="I43" s="19"/>
      <c r="J43" s="27"/>
    </row>
    <row r="44" spans="1:10" s="17" customFormat="1" x14ac:dyDescent="0.3">
      <c r="A44" s="57" t="s">
        <v>73</v>
      </c>
      <c r="B44" s="57"/>
      <c r="C44" s="57"/>
      <c r="D44" s="30">
        <f>SUM(D38:D43)</f>
        <v>17</v>
      </c>
      <c r="E44" s="25"/>
      <c r="F44" s="28"/>
      <c r="G44" s="22"/>
      <c r="H44" s="30"/>
      <c r="I44" s="30"/>
      <c r="J44" s="28"/>
    </row>
    <row r="45" spans="1:10" x14ac:dyDescent="0.3">
      <c r="A45" s="19"/>
      <c r="B45" s="19"/>
      <c r="C45" s="19"/>
      <c r="D45" s="19"/>
      <c r="E45" s="24"/>
      <c r="F45" s="27" t="s">
        <v>81</v>
      </c>
      <c r="G45" s="21"/>
      <c r="H45" s="19"/>
      <c r="I45" s="19"/>
      <c r="J45" s="27"/>
    </row>
    <row r="46" spans="1:10" x14ac:dyDescent="0.3">
      <c r="A46" s="19"/>
      <c r="B46" s="19" t="s">
        <v>601</v>
      </c>
      <c r="C46" s="19" t="s">
        <v>256</v>
      </c>
      <c r="D46" s="19">
        <v>3</v>
      </c>
      <c r="E46" s="24"/>
      <c r="F46" s="27"/>
      <c r="G46" s="21" t="s">
        <v>92</v>
      </c>
      <c r="H46" s="19" t="s">
        <v>179</v>
      </c>
      <c r="I46" s="19"/>
      <c r="J46" s="27" t="s">
        <v>600</v>
      </c>
    </row>
    <row r="47" spans="1:10" x14ac:dyDescent="0.3">
      <c r="A47" s="19"/>
      <c r="B47" s="19" t="s">
        <v>602</v>
      </c>
      <c r="C47" s="19" t="s">
        <v>257</v>
      </c>
      <c r="D47" s="19">
        <v>3</v>
      </c>
      <c r="E47" s="24"/>
      <c r="F47" s="27"/>
      <c r="G47" s="21" t="s">
        <v>92</v>
      </c>
      <c r="H47" s="19" t="s">
        <v>179</v>
      </c>
      <c r="I47" s="19"/>
      <c r="J47" s="27" t="s">
        <v>600</v>
      </c>
    </row>
    <row r="48" spans="1:10" x14ac:dyDescent="0.3">
      <c r="A48" s="19"/>
      <c r="B48" s="19" t="s">
        <v>49</v>
      </c>
      <c r="C48" s="19" t="s">
        <v>157</v>
      </c>
      <c r="D48" s="19">
        <v>3</v>
      </c>
      <c r="E48" s="24"/>
      <c r="F48" s="27"/>
      <c r="G48" s="21" t="s">
        <v>92</v>
      </c>
      <c r="H48" s="19" t="s">
        <v>179</v>
      </c>
      <c r="I48" s="19"/>
      <c r="J48" s="27" t="s">
        <v>597</v>
      </c>
    </row>
    <row r="49" spans="1:10" x14ac:dyDescent="0.3">
      <c r="A49" s="19"/>
      <c r="B49" s="19" t="s">
        <v>258</v>
      </c>
      <c r="C49" s="19" t="s">
        <v>261</v>
      </c>
      <c r="D49" s="19">
        <v>3</v>
      </c>
      <c r="E49" s="24"/>
      <c r="F49" s="27"/>
      <c r="G49" s="21" t="s">
        <v>227</v>
      </c>
      <c r="H49" s="19" t="s">
        <v>179</v>
      </c>
      <c r="I49" s="19"/>
      <c r="J49" s="27"/>
    </row>
    <row r="50" spans="1:10" x14ac:dyDescent="0.3">
      <c r="A50" s="19"/>
      <c r="B50" s="19" t="s">
        <v>259</v>
      </c>
      <c r="C50" s="19" t="s">
        <v>262</v>
      </c>
      <c r="D50" s="19">
        <v>3</v>
      </c>
      <c r="E50" s="24"/>
      <c r="F50" s="27"/>
      <c r="G50" s="21" t="s">
        <v>226</v>
      </c>
      <c r="H50" s="19" t="s">
        <v>179</v>
      </c>
      <c r="I50" s="19"/>
      <c r="J50" s="27"/>
    </row>
    <row r="51" spans="1:10" x14ac:dyDescent="0.3">
      <c r="A51" s="19"/>
      <c r="B51" s="19" t="s">
        <v>260</v>
      </c>
      <c r="C51" s="19" t="s">
        <v>263</v>
      </c>
      <c r="D51" s="19">
        <v>3</v>
      </c>
      <c r="E51" s="24"/>
      <c r="F51" s="27"/>
      <c r="G51" s="21" t="s">
        <v>226</v>
      </c>
      <c r="H51" s="19" t="s">
        <v>179</v>
      </c>
      <c r="I51" s="19"/>
      <c r="J51" s="27"/>
    </row>
    <row r="52" spans="1:10" s="17" customFormat="1" x14ac:dyDescent="0.3">
      <c r="A52" s="57" t="s">
        <v>73</v>
      </c>
      <c r="B52" s="57"/>
      <c r="C52" s="57"/>
      <c r="D52" s="30">
        <f>SUM(D46:D51)</f>
        <v>18</v>
      </c>
      <c r="E52" s="25"/>
      <c r="F52" s="28"/>
      <c r="G52" s="22"/>
      <c r="H52" s="30"/>
      <c r="I52" s="30"/>
      <c r="J52" s="28"/>
    </row>
    <row r="53" spans="1:10" x14ac:dyDescent="0.3">
      <c r="A53" s="19"/>
      <c r="B53" s="19"/>
      <c r="C53" s="19"/>
      <c r="D53" s="19"/>
      <c r="E53" s="24"/>
      <c r="F53" s="27" t="s">
        <v>85</v>
      </c>
      <c r="G53" s="21"/>
      <c r="H53" s="19"/>
      <c r="I53" s="19"/>
      <c r="J53" s="27"/>
    </row>
    <row r="54" spans="1:10" x14ac:dyDescent="0.3">
      <c r="A54" s="19"/>
      <c r="B54" s="19" t="s">
        <v>53</v>
      </c>
      <c r="C54" s="19" t="s">
        <v>126</v>
      </c>
      <c r="D54" s="19">
        <v>6</v>
      </c>
      <c r="E54" s="24"/>
      <c r="F54" s="27"/>
      <c r="G54" s="21" t="s">
        <v>92</v>
      </c>
      <c r="H54" s="19" t="s">
        <v>179</v>
      </c>
      <c r="I54" s="19"/>
      <c r="J54" s="27" t="s">
        <v>599</v>
      </c>
    </row>
    <row r="55" spans="1:10" s="17" customFormat="1" x14ac:dyDescent="0.3">
      <c r="A55" s="57" t="s">
        <v>73</v>
      </c>
      <c r="B55" s="57"/>
      <c r="C55" s="57"/>
      <c r="D55" s="30">
        <f>SUM(D54)</f>
        <v>6</v>
      </c>
      <c r="E55" s="25"/>
      <c r="F55" s="28"/>
      <c r="G55" s="22"/>
      <c r="H55" s="30"/>
      <c r="I55" s="30"/>
      <c r="J55" s="28"/>
    </row>
    <row r="56" spans="1:10" x14ac:dyDescent="0.3">
      <c r="A56" s="19"/>
      <c r="B56" s="19"/>
      <c r="C56" s="19"/>
      <c r="D56" s="19"/>
      <c r="E56" s="24" t="s">
        <v>158</v>
      </c>
      <c r="F56" s="27" t="s">
        <v>14</v>
      </c>
      <c r="G56" s="21"/>
      <c r="H56" s="19"/>
      <c r="I56" s="19"/>
      <c r="J56" s="27"/>
    </row>
    <row r="57" spans="1:10" x14ac:dyDescent="0.3">
      <c r="A57" s="19"/>
      <c r="B57" s="19" t="s">
        <v>54</v>
      </c>
      <c r="C57" s="19" t="s">
        <v>80</v>
      </c>
      <c r="D57" s="19">
        <v>3</v>
      </c>
      <c r="E57" s="24"/>
      <c r="F57" s="27"/>
      <c r="G57" s="21" t="s">
        <v>92</v>
      </c>
      <c r="H57" s="19" t="s">
        <v>179</v>
      </c>
      <c r="I57" s="19"/>
      <c r="J57" s="27" t="s">
        <v>591</v>
      </c>
    </row>
    <row r="58" spans="1:10" x14ac:dyDescent="0.3">
      <c r="A58" s="19"/>
      <c r="B58" s="19" t="s">
        <v>55</v>
      </c>
      <c r="C58" s="19" t="s">
        <v>79</v>
      </c>
      <c r="D58" s="19">
        <v>3</v>
      </c>
      <c r="E58" s="24"/>
      <c r="F58" s="27"/>
      <c r="G58" s="21" t="s">
        <v>92</v>
      </c>
      <c r="H58" s="19" t="s">
        <v>179</v>
      </c>
      <c r="I58" s="19"/>
      <c r="J58" s="27" t="s">
        <v>591</v>
      </c>
    </row>
    <row r="59" spans="1:10" x14ac:dyDescent="0.3">
      <c r="A59" s="19"/>
      <c r="B59" s="19" t="s">
        <v>264</v>
      </c>
      <c r="C59" s="19" t="s">
        <v>268</v>
      </c>
      <c r="D59" s="19">
        <v>3</v>
      </c>
      <c r="E59" s="24"/>
      <c r="F59" s="27"/>
      <c r="G59" s="21" t="s">
        <v>227</v>
      </c>
      <c r="H59" s="19" t="s">
        <v>179</v>
      </c>
      <c r="I59" s="19"/>
      <c r="J59" s="27"/>
    </row>
    <row r="60" spans="1:10" x14ac:dyDescent="0.3">
      <c r="A60" s="19"/>
      <c r="B60" s="19" t="s">
        <v>265</v>
      </c>
      <c r="C60" s="19" t="s">
        <v>269</v>
      </c>
      <c r="D60" s="19">
        <v>3</v>
      </c>
      <c r="E60" s="24"/>
      <c r="F60" s="27"/>
      <c r="G60" s="21" t="s">
        <v>226</v>
      </c>
      <c r="H60" s="19" t="s">
        <v>179</v>
      </c>
      <c r="I60" s="19"/>
      <c r="J60" s="27"/>
    </row>
    <row r="61" spans="1:10" x14ac:dyDescent="0.3">
      <c r="A61" s="19"/>
      <c r="B61" s="19" t="s">
        <v>266</v>
      </c>
      <c r="C61" s="19" t="s">
        <v>270</v>
      </c>
      <c r="D61" s="19">
        <v>3</v>
      </c>
      <c r="E61" s="24"/>
      <c r="F61" s="27"/>
      <c r="G61" s="21" t="s">
        <v>226</v>
      </c>
      <c r="H61" s="19" t="s">
        <v>179</v>
      </c>
      <c r="I61" s="19"/>
      <c r="J61" s="27"/>
    </row>
    <row r="62" spans="1:10" x14ac:dyDescent="0.3">
      <c r="A62" s="19"/>
      <c r="B62" s="19" t="s">
        <v>267</v>
      </c>
      <c r="C62" s="19" t="s">
        <v>271</v>
      </c>
      <c r="D62" s="19">
        <v>3</v>
      </c>
      <c r="E62" s="24"/>
      <c r="F62" s="27"/>
      <c r="G62" s="21" t="s">
        <v>227</v>
      </c>
      <c r="H62" s="19" t="s">
        <v>179</v>
      </c>
      <c r="I62" s="19"/>
      <c r="J62" s="27"/>
    </row>
    <row r="63" spans="1:10" s="17" customFormat="1" x14ac:dyDescent="0.3">
      <c r="A63" s="57" t="s">
        <v>73</v>
      </c>
      <c r="B63" s="57"/>
      <c r="C63" s="57"/>
      <c r="D63" s="30">
        <f>SUM(D57:D62)</f>
        <v>18</v>
      </c>
      <c r="E63" s="25"/>
      <c r="F63" s="28"/>
      <c r="G63" s="22"/>
      <c r="H63" s="30"/>
      <c r="I63" s="30"/>
      <c r="J63" s="28"/>
    </row>
    <row r="64" spans="1:10" x14ac:dyDescent="0.3">
      <c r="A64" s="19"/>
      <c r="B64" s="19"/>
      <c r="C64" s="19"/>
      <c r="D64" s="19"/>
      <c r="E64" s="24"/>
      <c r="F64" s="27" t="s">
        <v>81</v>
      </c>
      <c r="G64" s="21"/>
      <c r="H64" s="19"/>
      <c r="I64" s="19"/>
      <c r="J64" s="27"/>
    </row>
    <row r="65" spans="1:10" x14ac:dyDescent="0.3">
      <c r="A65" s="19"/>
      <c r="B65" s="19" t="s">
        <v>61</v>
      </c>
      <c r="C65" s="19" t="s">
        <v>72</v>
      </c>
      <c r="D65" s="19">
        <v>2</v>
      </c>
      <c r="E65" s="24"/>
      <c r="F65" s="27"/>
      <c r="G65" s="21" t="s">
        <v>92</v>
      </c>
      <c r="H65" s="19" t="s">
        <v>179</v>
      </c>
      <c r="I65" s="19"/>
      <c r="J65" s="27" t="s">
        <v>591</v>
      </c>
    </row>
    <row r="66" spans="1:10" x14ac:dyDescent="0.3">
      <c r="A66" s="19"/>
      <c r="B66" s="19" t="s">
        <v>62</v>
      </c>
      <c r="C66" s="19" t="s">
        <v>71</v>
      </c>
      <c r="D66" s="19">
        <v>3</v>
      </c>
      <c r="E66" s="24"/>
      <c r="F66" s="27"/>
      <c r="G66" s="21" t="s">
        <v>92</v>
      </c>
      <c r="H66" s="19" t="s">
        <v>179</v>
      </c>
      <c r="I66" s="19"/>
      <c r="J66" s="27" t="s">
        <v>591</v>
      </c>
    </row>
    <row r="67" spans="1:10" x14ac:dyDescent="0.3">
      <c r="A67" s="19"/>
      <c r="B67" s="19" t="s">
        <v>272</v>
      </c>
      <c r="C67" s="19" t="s">
        <v>276</v>
      </c>
      <c r="D67" s="19">
        <v>3</v>
      </c>
      <c r="E67" s="24"/>
      <c r="F67" s="27"/>
      <c r="G67" s="21" t="s">
        <v>226</v>
      </c>
      <c r="H67" s="19" t="s">
        <v>179</v>
      </c>
      <c r="I67" s="19"/>
      <c r="J67" s="27"/>
    </row>
    <row r="68" spans="1:10" x14ac:dyDescent="0.3">
      <c r="A68" s="19"/>
      <c r="B68" s="19" t="s">
        <v>273</v>
      </c>
      <c r="C68" s="19" t="s">
        <v>277</v>
      </c>
      <c r="D68" s="19">
        <v>3</v>
      </c>
      <c r="E68" s="24"/>
      <c r="F68" s="27"/>
      <c r="G68" s="21" t="s">
        <v>226</v>
      </c>
      <c r="H68" s="19" t="s">
        <v>179</v>
      </c>
      <c r="I68" s="19"/>
      <c r="J68" s="27"/>
    </row>
    <row r="69" spans="1:10" x14ac:dyDescent="0.3">
      <c r="A69" s="19"/>
      <c r="B69" s="19" t="s">
        <v>274</v>
      </c>
      <c r="C69" s="19" t="s">
        <v>278</v>
      </c>
      <c r="D69" s="19">
        <v>3</v>
      </c>
      <c r="E69" s="24"/>
      <c r="F69" s="27"/>
      <c r="G69" s="21" t="s">
        <v>227</v>
      </c>
      <c r="H69" s="19" t="s">
        <v>179</v>
      </c>
      <c r="I69" s="19"/>
      <c r="J69" s="27"/>
    </row>
    <row r="70" spans="1:10" x14ac:dyDescent="0.3">
      <c r="A70" s="19"/>
      <c r="B70" s="19" t="s">
        <v>275</v>
      </c>
      <c r="C70" s="19" t="s">
        <v>279</v>
      </c>
      <c r="D70" s="19">
        <v>3</v>
      </c>
      <c r="E70" s="24"/>
      <c r="F70" s="27"/>
      <c r="G70" s="21" t="s">
        <v>227</v>
      </c>
      <c r="H70" s="19" t="s">
        <v>179</v>
      </c>
      <c r="I70" s="19"/>
      <c r="J70" s="27"/>
    </row>
    <row r="71" spans="1:10" s="17" customFormat="1" x14ac:dyDescent="0.3">
      <c r="A71" s="57" t="s">
        <v>73</v>
      </c>
      <c r="B71" s="57"/>
      <c r="C71" s="57"/>
      <c r="D71" s="30">
        <f>SUM(D65:D70)</f>
        <v>17</v>
      </c>
      <c r="E71" s="25"/>
      <c r="F71" s="28"/>
      <c r="G71" s="22"/>
      <c r="H71" s="30"/>
      <c r="I71" s="30"/>
      <c r="J71" s="28"/>
    </row>
    <row r="73" spans="1:10" x14ac:dyDescent="0.3">
      <c r="A73" t="s">
        <v>603</v>
      </c>
    </row>
    <row r="74" spans="1:10" x14ac:dyDescent="0.3">
      <c r="A74" t="s">
        <v>608</v>
      </c>
      <c r="B74">
        <v>11</v>
      </c>
    </row>
    <row r="75" spans="1:10" x14ac:dyDescent="0.3">
      <c r="A75" t="s">
        <v>617</v>
      </c>
      <c r="B75">
        <f>SUMIF(G1:G71,G67,D1:D71)</f>
        <v>45</v>
      </c>
    </row>
    <row r="76" spans="1:10" x14ac:dyDescent="0.3">
      <c r="A76" t="s">
        <v>227</v>
      </c>
      <c r="B76">
        <f>SUMIF(G1:G71,G69,D1:D71)</f>
        <v>38</v>
      </c>
    </row>
    <row r="77" spans="1:10" x14ac:dyDescent="0.3">
      <c r="A77" t="s">
        <v>92</v>
      </c>
      <c r="B77">
        <f>SUMIF(G2:G71,G66,D2:D71)</f>
        <v>55</v>
      </c>
    </row>
    <row r="78" spans="1:10" x14ac:dyDescent="0.3">
      <c r="A78" t="s">
        <v>610</v>
      </c>
      <c r="B78">
        <f>SUM(B74:B77)</f>
        <v>149</v>
      </c>
    </row>
    <row r="81" spans="1:2" x14ac:dyDescent="0.3">
      <c r="A81" t="s">
        <v>604</v>
      </c>
    </row>
    <row r="82" spans="1:2" x14ac:dyDescent="0.3">
      <c r="A82" t="s">
        <v>605</v>
      </c>
      <c r="B82" t="s">
        <v>606</v>
      </c>
    </row>
    <row r="83" spans="1:2" x14ac:dyDescent="0.3">
      <c r="A83" t="s">
        <v>607</v>
      </c>
      <c r="B83" t="s">
        <v>606</v>
      </c>
    </row>
  </sheetData>
  <mergeCells count="9">
    <mergeCell ref="A55:C55"/>
    <mergeCell ref="A63:C63"/>
    <mergeCell ref="A71:C71"/>
    <mergeCell ref="A10:C10"/>
    <mergeCell ref="A19:C19"/>
    <mergeCell ref="A28:C28"/>
    <mergeCell ref="A36:C36"/>
    <mergeCell ref="A44:C44"/>
    <mergeCell ref="A52:C5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topLeftCell="A70" workbookViewId="0">
      <selection activeCell="F99" sqref="F99"/>
    </sheetView>
  </sheetViews>
  <sheetFormatPr defaultRowHeight="14.4" x14ac:dyDescent="0.3"/>
  <cols>
    <col min="2" max="2" width="12.109375" bestFit="1" customWidth="1"/>
    <col min="3" max="3" width="51.5546875" bestFit="1" customWidth="1"/>
    <col min="4" max="4" width="7.109375" bestFit="1" customWidth="1"/>
    <col min="5" max="5" width="4" bestFit="1" customWidth="1"/>
    <col min="6" max="6" width="20.33203125" bestFit="1" customWidth="1"/>
    <col min="7" max="7" width="10.33203125" style="1" bestFit="1" customWidth="1"/>
    <col min="8" max="8" width="14.88671875" style="2" bestFit="1" customWidth="1"/>
    <col min="9" max="9" width="30.44140625" style="3" bestFit="1" customWidth="1"/>
    <col min="10" max="10" width="39.109375" bestFit="1" customWidth="1"/>
    <col min="11" max="11" width="5.6640625" bestFit="1" customWidth="1"/>
    <col min="12" max="12" width="158.88671875" style="2" bestFit="1" customWidth="1"/>
  </cols>
  <sheetData>
    <row r="1" spans="1:12" x14ac:dyDescent="0.3">
      <c r="A1" s="11" t="s">
        <v>0</v>
      </c>
      <c r="B1" s="11" t="s">
        <v>1</v>
      </c>
      <c r="C1" s="11" t="s">
        <v>2</v>
      </c>
      <c r="D1" s="11"/>
      <c r="E1" s="11"/>
      <c r="F1" s="11" t="s">
        <v>3</v>
      </c>
      <c r="G1" s="12" t="s">
        <v>4</v>
      </c>
      <c r="H1" s="13" t="s">
        <v>5</v>
      </c>
      <c r="I1" s="14" t="s">
        <v>6</v>
      </c>
      <c r="J1" s="11" t="s">
        <v>7</v>
      </c>
      <c r="K1" s="11" t="s">
        <v>8</v>
      </c>
      <c r="L1" s="13" t="s">
        <v>9</v>
      </c>
    </row>
    <row r="2" spans="1:12" x14ac:dyDescent="0.3">
      <c r="A2" s="11" t="s">
        <v>281</v>
      </c>
      <c r="B2" s="11" t="s">
        <v>10</v>
      </c>
      <c r="C2" s="11" t="s">
        <v>11</v>
      </c>
      <c r="D2" s="59" t="s">
        <v>12</v>
      </c>
      <c r="E2" s="59"/>
      <c r="F2" s="59"/>
      <c r="G2" s="12" t="s">
        <v>13</v>
      </c>
      <c r="H2" s="13" t="s">
        <v>14</v>
      </c>
      <c r="I2" s="14"/>
      <c r="J2" s="11"/>
      <c r="K2" s="11"/>
      <c r="L2" s="13"/>
    </row>
    <row r="3" spans="1:12" x14ac:dyDescent="0.3">
      <c r="A3" s="11"/>
      <c r="B3" s="11"/>
      <c r="C3" s="11"/>
      <c r="D3" s="11" t="s">
        <v>282</v>
      </c>
      <c r="E3" s="11" t="s">
        <v>283</v>
      </c>
      <c r="F3" s="11" t="s">
        <v>284</v>
      </c>
      <c r="G3" s="12"/>
      <c r="H3" s="13"/>
      <c r="I3" s="14"/>
      <c r="J3" s="11"/>
      <c r="K3" s="11"/>
      <c r="L3" s="13"/>
    </row>
    <row r="4" spans="1:12" x14ac:dyDescent="0.3">
      <c r="A4" s="19"/>
      <c r="B4" s="19" t="s">
        <v>16</v>
      </c>
      <c r="C4" s="19" t="s">
        <v>87</v>
      </c>
      <c r="D4" s="19">
        <v>3</v>
      </c>
      <c r="E4" s="19"/>
      <c r="F4" s="19">
        <f>SUM(D4:E4)</f>
        <v>3</v>
      </c>
      <c r="G4" s="24"/>
      <c r="H4" s="27"/>
      <c r="I4" s="21" t="s">
        <v>92</v>
      </c>
      <c r="J4" s="19" t="s">
        <v>179</v>
      </c>
      <c r="K4" s="19"/>
      <c r="L4" s="27"/>
    </row>
    <row r="5" spans="1:12" x14ac:dyDescent="0.3">
      <c r="A5" s="19"/>
      <c r="B5" s="19" t="s">
        <v>29</v>
      </c>
      <c r="C5" s="19" t="s">
        <v>447</v>
      </c>
      <c r="D5" s="19">
        <v>2</v>
      </c>
      <c r="E5" s="19"/>
      <c r="F5" s="38">
        <f t="shared" ref="F5:F11" si="0">SUM(D5:E5)</f>
        <v>2</v>
      </c>
      <c r="G5" s="24"/>
      <c r="H5" s="27"/>
      <c r="I5" s="21" t="s">
        <v>92</v>
      </c>
      <c r="J5" s="19" t="s">
        <v>179</v>
      </c>
      <c r="K5" s="19"/>
      <c r="L5" s="27"/>
    </row>
    <row r="6" spans="1:12" x14ac:dyDescent="0.3">
      <c r="A6" s="19"/>
      <c r="B6" s="19" t="s">
        <v>17</v>
      </c>
      <c r="C6" s="19" t="s">
        <v>88</v>
      </c>
      <c r="D6" s="19">
        <v>3</v>
      </c>
      <c r="E6" s="19"/>
      <c r="F6" s="38">
        <f t="shared" si="0"/>
        <v>3</v>
      </c>
      <c r="G6" s="24"/>
      <c r="H6" s="27"/>
      <c r="I6" s="21" t="s">
        <v>102</v>
      </c>
      <c r="J6" s="19" t="s">
        <v>179</v>
      </c>
      <c r="K6" s="19"/>
      <c r="L6" s="27"/>
    </row>
    <row r="7" spans="1:12" x14ac:dyDescent="0.3">
      <c r="A7" s="19"/>
      <c r="B7" s="19" t="s">
        <v>285</v>
      </c>
      <c r="C7" s="19" t="s">
        <v>290</v>
      </c>
      <c r="D7" s="19">
        <v>2</v>
      </c>
      <c r="E7" s="19">
        <v>1</v>
      </c>
      <c r="F7" s="38">
        <f t="shared" si="0"/>
        <v>3</v>
      </c>
      <c r="G7" s="24"/>
      <c r="H7" s="27"/>
      <c r="I7" s="21" t="s">
        <v>295</v>
      </c>
      <c r="J7" s="19" t="s">
        <v>179</v>
      </c>
      <c r="K7" s="19"/>
      <c r="L7" s="27"/>
    </row>
    <row r="8" spans="1:12" x14ac:dyDescent="0.3">
      <c r="A8" s="19"/>
      <c r="B8" s="19" t="s">
        <v>286</v>
      </c>
      <c r="C8" s="19" t="s">
        <v>291</v>
      </c>
      <c r="D8" s="19">
        <v>2</v>
      </c>
      <c r="E8" s="19">
        <v>1</v>
      </c>
      <c r="F8" s="38">
        <f t="shared" si="0"/>
        <v>3</v>
      </c>
      <c r="G8" s="24"/>
      <c r="H8" s="27"/>
      <c r="I8" s="21" t="s">
        <v>295</v>
      </c>
      <c r="J8" s="19" t="s">
        <v>179</v>
      </c>
      <c r="K8" s="19"/>
      <c r="L8" s="27"/>
    </row>
    <row r="9" spans="1:12" x14ac:dyDescent="0.3">
      <c r="A9" s="19"/>
      <c r="B9" s="19" t="s">
        <v>287</v>
      </c>
      <c r="C9" s="19" t="s">
        <v>292</v>
      </c>
      <c r="D9" s="19">
        <v>1</v>
      </c>
      <c r="E9" s="19"/>
      <c r="F9" s="38">
        <f t="shared" si="0"/>
        <v>1</v>
      </c>
      <c r="G9" s="24"/>
      <c r="H9" s="27"/>
      <c r="I9" s="21" t="s">
        <v>296</v>
      </c>
      <c r="J9" s="19" t="s">
        <v>179</v>
      </c>
      <c r="K9" s="19"/>
      <c r="L9" s="27"/>
    </row>
    <row r="10" spans="1:12" x14ac:dyDescent="0.3">
      <c r="A10" s="19"/>
      <c r="B10" s="19" t="s">
        <v>288</v>
      </c>
      <c r="C10" s="19" t="s">
        <v>293</v>
      </c>
      <c r="D10" s="19">
        <v>2</v>
      </c>
      <c r="E10" s="19"/>
      <c r="F10" s="38">
        <f t="shared" si="0"/>
        <v>2</v>
      </c>
      <c r="G10" s="24"/>
      <c r="H10" s="27"/>
      <c r="I10" s="21" t="s">
        <v>296</v>
      </c>
      <c r="J10" s="19" t="s">
        <v>179</v>
      </c>
      <c r="K10" s="19"/>
      <c r="L10" s="27"/>
    </row>
    <row r="11" spans="1:12" x14ac:dyDescent="0.3">
      <c r="A11" s="19"/>
      <c r="B11" s="19" t="s">
        <v>289</v>
      </c>
      <c r="C11" s="19" t="s">
        <v>294</v>
      </c>
      <c r="D11" s="19">
        <v>1</v>
      </c>
      <c r="E11" s="19"/>
      <c r="F11" s="38">
        <f t="shared" si="0"/>
        <v>1</v>
      </c>
      <c r="G11" s="24"/>
      <c r="H11" s="27"/>
      <c r="I11" s="21" t="s">
        <v>296</v>
      </c>
      <c r="J11" s="19" t="s">
        <v>179</v>
      </c>
      <c r="K11" s="19"/>
      <c r="L11" s="27"/>
    </row>
    <row r="12" spans="1:12" s="17" customFormat="1" x14ac:dyDescent="0.3">
      <c r="A12" s="57" t="s">
        <v>73</v>
      </c>
      <c r="B12" s="57"/>
      <c r="C12" s="57"/>
      <c r="D12" s="30">
        <f>SUM(D4:D11)</f>
        <v>16</v>
      </c>
      <c r="E12" s="30">
        <f>SUM(E7:E8)</f>
        <v>2</v>
      </c>
      <c r="F12" s="30">
        <f>SUM(F4:F11)</f>
        <v>18</v>
      </c>
      <c r="G12" s="25"/>
      <c r="H12" s="28"/>
      <c r="I12" s="22"/>
      <c r="J12" s="30"/>
      <c r="K12" s="30"/>
      <c r="L12" s="28"/>
    </row>
    <row r="13" spans="1:12" x14ac:dyDescent="0.3">
      <c r="A13" s="19"/>
      <c r="B13" s="19"/>
      <c r="C13" s="19"/>
      <c r="D13" s="19"/>
      <c r="E13" s="19"/>
      <c r="F13" s="19"/>
      <c r="G13" s="24"/>
      <c r="H13" s="27" t="s">
        <v>81</v>
      </c>
      <c r="I13" s="21"/>
      <c r="J13" s="19"/>
      <c r="K13" s="19"/>
      <c r="L13" s="27"/>
    </row>
    <row r="14" spans="1:12" x14ac:dyDescent="0.3">
      <c r="A14" s="19"/>
      <c r="B14" s="19" t="s">
        <v>22</v>
      </c>
      <c r="C14" s="19" t="s">
        <v>95</v>
      </c>
      <c r="D14" s="19">
        <v>2</v>
      </c>
      <c r="E14" s="19"/>
      <c r="F14" s="19">
        <f>SUM(D14:E14)</f>
        <v>2</v>
      </c>
      <c r="G14" s="24"/>
      <c r="H14" s="27"/>
      <c r="I14" s="21" t="s">
        <v>92</v>
      </c>
      <c r="J14" s="19" t="s">
        <v>179</v>
      </c>
      <c r="K14" s="19"/>
      <c r="L14" s="27"/>
    </row>
    <row r="15" spans="1:12" x14ac:dyDescent="0.3">
      <c r="A15" s="19"/>
      <c r="B15" s="19" t="s">
        <v>23</v>
      </c>
      <c r="C15" s="19" t="s">
        <v>96</v>
      </c>
      <c r="D15" s="19">
        <v>2</v>
      </c>
      <c r="E15" s="19"/>
      <c r="F15" s="38">
        <f t="shared" ref="F15:F22" si="1">SUM(D15:E15)</f>
        <v>2</v>
      </c>
      <c r="G15" s="24"/>
      <c r="H15" s="27"/>
      <c r="I15" s="21" t="s">
        <v>92</v>
      </c>
      <c r="J15" s="19" t="s">
        <v>179</v>
      </c>
      <c r="K15" s="19"/>
      <c r="L15" s="27" t="s">
        <v>592</v>
      </c>
    </row>
    <row r="16" spans="1:12" x14ac:dyDescent="0.3">
      <c r="A16" s="19"/>
      <c r="B16" s="19" t="s">
        <v>24</v>
      </c>
      <c r="C16" s="19" t="s">
        <v>170</v>
      </c>
      <c r="D16" s="19">
        <v>1</v>
      </c>
      <c r="E16" s="19"/>
      <c r="F16" s="38">
        <f t="shared" si="1"/>
        <v>1</v>
      </c>
      <c r="G16" s="24"/>
      <c r="H16" s="27"/>
      <c r="I16" s="21" t="s">
        <v>102</v>
      </c>
      <c r="J16" s="19" t="s">
        <v>179</v>
      </c>
      <c r="K16" s="19"/>
      <c r="L16" s="27"/>
    </row>
    <row r="17" spans="1:12" x14ac:dyDescent="0.3">
      <c r="A17" s="19"/>
      <c r="B17" s="19" t="s">
        <v>25</v>
      </c>
      <c r="C17" s="19" t="s">
        <v>171</v>
      </c>
      <c r="D17" s="19">
        <v>2</v>
      </c>
      <c r="E17" s="19"/>
      <c r="F17" s="38">
        <f t="shared" si="1"/>
        <v>2</v>
      </c>
      <c r="G17" s="24"/>
      <c r="H17" s="27"/>
      <c r="I17" s="21" t="s">
        <v>102</v>
      </c>
      <c r="J17" s="19" t="s">
        <v>179</v>
      </c>
      <c r="K17" s="19"/>
      <c r="L17" s="27"/>
    </row>
    <row r="18" spans="1:12" x14ac:dyDescent="0.3">
      <c r="A18" s="19"/>
      <c r="B18" s="19" t="s">
        <v>297</v>
      </c>
      <c r="C18" s="19" t="s">
        <v>301</v>
      </c>
      <c r="D18" s="19">
        <v>2</v>
      </c>
      <c r="E18" s="19">
        <v>1</v>
      </c>
      <c r="F18" s="38">
        <f t="shared" si="1"/>
        <v>3</v>
      </c>
      <c r="G18" s="24"/>
      <c r="H18" s="27"/>
      <c r="I18" s="21" t="s">
        <v>295</v>
      </c>
      <c r="J18" s="19" t="s">
        <v>179</v>
      </c>
      <c r="K18" s="19"/>
      <c r="L18" s="27"/>
    </row>
    <row r="19" spans="1:12" x14ac:dyDescent="0.3">
      <c r="A19" s="19"/>
      <c r="B19" s="19" t="s">
        <v>438</v>
      </c>
      <c r="C19" s="19" t="s">
        <v>302</v>
      </c>
      <c r="D19" s="19">
        <v>2</v>
      </c>
      <c r="E19" s="19">
        <v>1</v>
      </c>
      <c r="F19" s="38">
        <f t="shared" si="1"/>
        <v>3</v>
      </c>
      <c r="G19" s="24"/>
      <c r="H19" s="27"/>
      <c r="I19" s="21" t="s">
        <v>295</v>
      </c>
      <c r="J19" s="19" t="s">
        <v>179</v>
      </c>
      <c r="K19" s="19"/>
      <c r="L19" s="27"/>
    </row>
    <row r="20" spans="1:12" x14ac:dyDescent="0.3">
      <c r="A20" s="19"/>
      <c r="B20" s="19" t="s">
        <v>298</v>
      </c>
      <c r="C20" s="19" t="s">
        <v>303</v>
      </c>
      <c r="D20" s="19">
        <v>2</v>
      </c>
      <c r="E20" s="19">
        <v>1</v>
      </c>
      <c r="F20" s="38">
        <f t="shared" si="1"/>
        <v>3</v>
      </c>
      <c r="G20" s="24"/>
      <c r="H20" s="27"/>
      <c r="I20" s="21" t="s">
        <v>296</v>
      </c>
      <c r="J20" s="19" t="s">
        <v>179</v>
      </c>
      <c r="K20" s="19"/>
      <c r="L20" s="27"/>
    </row>
    <row r="21" spans="1:12" x14ac:dyDescent="0.3">
      <c r="A21" s="19"/>
      <c r="B21" s="19" t="s">
        <v>299</v>
      </c>
      <c r="C21" s="19" t="s">
        <v>293</v>
      </c>
      <c r="D21" s="19">
        <v>1</v>
      </c>
      <c r="E21" s="19"/>
      <c r="F21" s="38">
        <f t="shared" si="1"/>
        <v>1</v>
      </c>
      <c r="G21" s="24"/>
      <c r="H21" s="27"/>
      <c r="I21" s="21" t="s">
        <v>296</v>
      </c>
      <c r="J21" s="19" t="s">
        <v>179</v>
      </c>
      <c r="K21" s="19"/>
      <c r="L21" s="27"/>
    </row>
    <row r="22" spans="1:12" x14ac:dyDescent="0.3">
      <c r="A22" s="19"/>
      <c r="B22" s="19" t="s">
        <v>300</v>
      </c>
      <c r="C22" s="19" t="s">
        <v>304</v>
      </c>
      <c r="D22" s="19">
        <v>1</v>
      </c>
      <c r="E22" s="19"/>
      <c r="F22" s="38">
        <f t="shared" si="1"/>
        <v>1</v>
      </c>
      <c r="G22" s="24"/>
      <c r="H22" s="27"/>
      <c r="I22" s="21" t="s">
        <v>296</v>
      </c>
      <c r="J22" s="19" t="s">
        <v>179</v>
      </c>
      <c r="K22" s="19"/>
      <c r="L22" s="27"/>
    </row>
    <row r="23" spans="1:12" s="17" customFormat="1" x14ac:dyDescent="0.3">
      <c r="A23" s="57" t="s">
        <v>73</v>
      </c>
      <c r="B23" s="57"/>
      <c r="C23" s="57"/>
      <c r="D23" s="30">
        <f>SUM(D14:D22)</f>
        <v>15</v>
      </c>
      <c r="E23" s="30">
        <f>SUM(E18:E20)</f>
        <v>3</v>
      </c>
      <c r="F23" s="30">
        <f>SUM(F14:F22)</f>
        <v>18</v>
      </c>
      <c r="G23" s="25"/>
      <c r="H23" s="28"/>
      <c r="I23" s="22"/>
      <c r="J23" s="30"/>
      <c r="K23" s="30"/>
      <c r="L23" s="28"/>
    </row>
    <row r="24" spans="1:12" x14ac:dyDescent="0.3">
      <c r="A24" s="19"/>
      <c r="B24" s="19"/>
      <c r="C24" s="19"/>
      <c r="D24" s="19"/>
      <c r="E24" s="19"/>
      <c r="F24" s="19"/>
      <c r="G24" s="24" t="s">
        <v>83</v>
      </c>
      <c r="H24" s="27" t="s">
        <v>14</v>
      </c>
      <c r="I24" s="21"/>
      <c r="J24" s="19"/>
      <c r="K24" s="19"/>
      <c r="L24" s="27"/>
    </row>
    <row r="25" spans="1:12" x14ac:dyDescent="0.3">
      <c r="A25" s="19"/>
      <c r="B25" s="19" t="s">
        <v>30</v>
      </c>
      <c r="C25" s="19" t="s">
        <v>103</v>
      </c>
      <c r="D25" s="19">
        <v>3</v>
      </c>
      <c r="E25" s="19"/>
      <c r="F25" s="19">
        <f>SUM(D25:E25)</f>
        <v>3</v>
      </c>
      <c r="G25" s="24"/>
      <c r="H25" s="27"/>
      <c r="I25" s="21" t="s">
        <v>92</v>
      </c>
      <c r="J25" s="19" t="s">
        <v>179</v>
      </c>
      <c r="K25" s="19"/>
      <c r="L25" s="27" t="s">
        <v>594</v>
      </c>
    </row>
    <row r="26" spans="1:12" x14ac:dyDescent="0.3">
      <c r="A26" s="19"/>
      <c r="B26" s="19" t="s">
        <v>31</v>
      </c>
      <c r="C26" s="19" t="s">
        <v>312</v>
      </c>
      <c r="D26" s="19">
        <v>3</v>
      </c>
      <c r="E26" s="19"/>
      <c r="F26" s="38">
        <f t="shared" ref="F26:F30" si="2">SUM(D26:E26)</f>
        <v>3</v>
      </c>
      <c r="G26" s="24"/>
      <c r="H26" s="27"/>
      <c r="I26" s="21" t="s">
        <v>92</v>
      </c>
      <c r="J26" s="19" t="s">
        <v>179</v>
      </c>
      <c r="K26" s="19"/>
      <c r="L26" s="27"/>
    </row>
    <row r="27" spans="1:12" x14ac:dyDescent="0.3">
      <c r="A27" s="19"/>
      <c r="B27" s="19" t="s">
        <v>305</v>
      </c>
      <c r="C27" s="19" t="s">
        <v>313</v>
      </c>
      <c r="D27" s="19">
        <v>2</v>
      </c>
      <c r="E27" s="19">
        <v>1</v>
      </c>
      <c r="F27" s="38">
        <f t="shared" si="2"/>
        <v>3</v>
      </c>
      <c r="G27" s="24"/>
      <c r="H27" s="27"/>
      <c r="I27" s="21" t="s">
        <v>295</v>
      </c>
      <c r="J27" s="19" t="s">
        <v>179</v>
      </c>
      <c r="K27" s="19"/>
      <c r="L27" s="27"/>
    </row>
    <row r="28" spans="1:12" x14ac:dyDescent="0.3">
      <c r="A28" s="19"/>
      <c r="B28" s="19" t="s">
        <v>306</v>
      </c>
      <c r="C28" s="19" t="s">
        <v>314</v>
      </c>
      <c r="D28" s="19">
        <v>3</v>
      </c>
      <c r="E28" s="19"/>
      <c r="F28" s="38">
        <f t="shared" si="2"/>
        <v>3</v>
      </c>
      <c r="G28" s="24"/>
      <c r="H28" s="27"/>
      <c r="I28" s="21" t="s">
        <v>295</v>
      </c>
      <c r="J28" s="19" t="s">
        <v>179</v>
      </c>
      <c r="K28" s="19"/>
      <c r="L28" s="27"/>
    </row>
    <row r="29" spans="1:12" x14ac:dyDescent="0.3">
      <c r="A29" s="19"/>
      <c r="B29" s="19" t="s">
        <v>307</v>
      </c>
      <c r="C29" s="19" t="s">
        <v>315</v>
      </c>
      <c r="D29" s="19">
        <v>2</v>
      </c>
      <c r="E29" s="19">
        <v>1</v>
      </c>
      <c r="F29" s="38">
        <f t="shared" si="2"/>
        <v>3</v>
      </c>
      <c r="G29" s="24"/>
      <c r="H29" s="27"/>
      <c r="I29" s="21" t="s">
        <v>296</v>
      </c>
      <c r="J29" s="19" t="s">
        <v>179</v>
      </c>
      <c r="K29" s="19"/>
      <c r="L29" s="27"/>
    </row>
    <row r="30" spans="1:12" x14ac:dyDescent="0.3">
      <c r="A30" s="19"/>
      <c r="B30" s="19" t="s">
        <v>308</v>
      </c>
      <c r="C30" s="19" t="s">
        <v>374</v>
      </c>
      <c r="D30" s="19">
        <v>2</v>
      </c>
      <c r="E30" s="19">
        <v>1</v>
      </c>
      <c r="F30" s="38">
        <f t="shared" si="2"/>
        <v>3</v>
      </c>
      <c r="G30" s="24"/>
      <c r="H30" s="27"/>
      <c r="I30" s="21" t="s">
        <v>296</v>
      </c>
      <c r="J30" s="19" t="s">
        <v>179</v>
      </c>
      <c r="K30" s="19"/>
      <c r="L30" s="27"/>
    </row>
    <row r="31" spans="1:12" s="17" customFormat="1" x14ac:dyDescent="0.3">
      <c r="A31" s="57" t="s">
        <v>73</v>
      </c>
      <c r="B31" s="57"/>
      <c r="C31" s="57"/>
      <c r="D31" s="30">
        <f>SUM(D25:D30)</f>
        <v>15</v>
      </c>
      <c r="E31" s="30"/>
      <c r="F31" s="30">
        <f>SUM(F25:F30)</f>
        <v>18</v>
      </c>
      <c r="G31" s="25"/>
      <c r="H31" s="28"/>
      <c r="I31" s="22"/>
      <c r="J31" s="30"/>
      <c r="K31" s="30"/>
      <c r="L31" s="28"/>
    </row>
    <row r="32" spans="1:12" x14ac:dyDescent="0.3">
      <c r="A32" s="19"/>
      <c r="B32" s="19"/>
      <c r="C32" s="19"/>
      <c r="D32" s="19"/>
      <c r="E32" s="19"/>
      <c r="F32" s="19"/>
      <c r="G32" s="24"/>
      <c r="H32" s="27" t="s">
        <v>215</v>
      </c>
      <c r="I32" s="21"/>
      <c r="J32" s="19"/>
      <c r="K32" s="19"/>
      <c r="L32" s="27"/>
    </row>
    <row r="33" spans="1:12" x14ac:dyDescent="0.3">
      <c r="A33" s="19"/>
      <c r="B33" s="19" t="s">
        <v>35</v>
      </c>
      <c r="C33" s="19" t="s">
        <v>110</v>
      </c>
      <c r="D33" s="19">
        <v>3</v>
      </c>
      <c r="E33" s="19"/>
      <c r="F33" s="19">
        <f>SUM(D33:E33)</f>
        <v>3</v>
      </c>
      <c r="G33" s="24"/>
      <c r="H33" s="27"/>
      <c r="I33" s="21" t="s">
        <v>92</v>
      </c>
      <c r="J33" s="19" t="s">
        <v>179</v>
      </c>
      <c r="K33" s="19"/>
      <c r="L33" s="27" t="s">
        <v>595</v>
      </c>
    </row>
    <row r="34" spans="1:12" x14ac:dyDescent="0.3">
      <c r="A34" s="19"/>
      <c r="B34" s="19" t="s">
        <v>36</v>
      </c>
      <c r="C34" s="19" t="s">
        <v>316</v>
      </c>
      <c r="D34" s="19">
        <v>3</v>
      </c>
      <c r="E34" s="19"/>
      <c r="F34" s="38">
        <f t="shared" ref="F34:F38" si="3">SUM(D34:E34)</f>
        <v>3</v>
      </c>
      <c r="G34" s="24"/>
      <c r="H34" s="27"/>
      <c r="I34" s="21" t="s">
        <v>92</v>
      </c>
      <c r="J34" s="19" t="s">
        <v>179</v>
      </c>
      <c r="K34" s="19"/>
      <c r="L34" s="27"/>
    </row>
    <row r="35" spans="1:12" x14ac:dyDescent="0.3">
      <c r="A35" s="19"/>
      <c r="B35" s="19" t="s">
        <v>37</v>
      </c>
      <c r="C35" s="19" t="s">
        <v>317</v>
      </c>
      <c r="D35" s="19">
        <v>3</v>
      </c>
      <c r="E35" s="19"/>
      <c r="F35" s="38">
        <f t="shared" si="3"/>
        <v>3</v>
      </c>
      <c r="G35" s="24"/>
      <c r="H35" s="27"/>
      <c r="I35" s="21" t="s">
        <v>102</v>
      </c>
      <c r="J35" s="19" t="s">
        <v>179</v>
      </c>
      <c r="K35" s="19"/>
      <c r="L35" s="27"/>
    </row>
    <row r="36" spans="1:12" x14ac:dyDescent="0.3">
      <c r="A36" s="19"/>
      <c r="B36" s="19" t="s">
        <v>309</v>
      </c>
      <c r="C36" s="19" t="s">
        <v>318</v>
      </c>
      <c r="D36" s="19">
        <v>2</v>
      </c>
      <c r="E36" s="19">
        <v>1</v>
      </c>
      <c r="F36" s="38">
        <f t="shared" si="3"/>
        <v>3</v>
      </c>
      <c r="G36" s="24"/>
      <c r="H36" s="27"/>
      <c r="I36" s="21" t="s">
        <v>295</v>
      </c>
      <c r="J36" s="19" t="s">
        <v>179</v>
      </c>
      <c r="K36" s="19"/>
      <c r="L36" s="27"/>
    </row>
    <row r="37" spans="1:12" x14ac:dyDescent="0.3">
      <c r="A37" s="19"/>
      <c r="B37" s="19" t="s">
        <v>310</v>
      </c>
      <c r="C37" s="19" t="s">
        <v>319</v>
      </c>
      <c r="D37" s="19">
        <v>3</v>
      </c>
      <c r="E37" s="19"/>
      <c r="F37" s="38">
        <f t="shared" si="3"/>
        <v>3</v>
      </c>
      <c r="G37" s="24"/>
      <c r="H37" s="27"/>
      <c r="I37" s="21" t="s">
        <v>295</v>
      </c>
      <c r="J37" s="19" t="s">
        <v>179</v>
      </c>
      <c r="K37" s="19"/>
      <c r="L37" s="27"/>
    </row>
    <row r="38" spans="1:12" x14ac:dyDescent="0.3">
      <c r="A38" s="19"/>
      <c r="B38" s="19" t="s">
        <v>311</v>
      </c>
      <c r="C38" s="19" t="s">
        <v>320</v>
      </c>
      <c r="D38" s="19">
        <v>2</v>
      </c>
      <c r="E38" s="19">
        <v>1</v>
      </c>
      <c r="F38" s="38">
        <f t="shared" si="3"/>
        <v>3</v>
      </c>
      <c r="G38" s="24"/>
      <c r="H38" s="27"/>
      <c r="I38" s="21" t="s">
        <v>296</v>
      </c>
      <c r="J38" s="19" t="s">
        <v>179</v>
      </c>
      <c r="K38" s="19"/>
      <c r="L38" s="27"/>
    </row>
    <row r="39" spans="1:12" s="17" customFormat="1" x14ac:dyDescent="0.3">
      <c r="A39" s="57" t="s">
        <v>73</v>
      </c>
      <c r="B39" s="57"/>
      <c r="C39" s="57"/>
      <c r="D39" s="30">
        <f>SUM(D33:D38)</f>
        <v>16</v>
      </c>
      <c r="E39" s="30">
        <f>SUM(E36:E38)</f>
        <v>2</v>
      </c>
      <c r="F39" s="30">
        <f>SUM(D39:E39)</f>
        <v>18</v>
      </c>
      <c r="G39" s="25"/>
      <c r="H39" s="28"/>
      <c r="I39" s="22"/>
      <c r="J39" s="30"/>
      <c r="K39" s="30"/>
      <c r="L39" s="28"/>
    </row>
    <row r="40" spans="1:12" x14ac:dyDescent="0.3">
      <c r="A40" s="19"/>
      <c r="B40" s="19"/>
      <c r="C40" s="19"/>
      <c r="D40" s="19"/>
      <c r="E40" s="19"/>
      <c r="F40" s="19"/>
      <c r="G40" s="24" t="s">
        <v>84</v>
      </c>
      <c r="H40" s="27" t="s">
        <v>159</v>
      </c>
      <c r="I40" s="21"/>
      <c r="J40" s="19"/>
      <c r="K40" s="19"/>
      <c r="L40" s="27"/>
    </row>
    <row r="41" spans="1:12" x14ac:dyDescent="0.3">
      <c r="A41" s="19"/>
      <c r="B41" s="19" t="s">
        <v>41</v>
      </c>
      <c r="C41" s="19" t="s">
        <v>330</v>
      </c>
      <c r="D41" s="19">
        <v>3</v>
      </c>
      <c r="E41" s="19"/>
      <c r="F41" s="19">
        <f>SUM(D41:E41)</f>
        <v>3</v>
      </c>
      <c r="G41" s="24"/>
      <c r="H41" s="27"/>
      <c r="I41" s="21" t="s">
        <v>92</v>
      </c>
      <c r="J41" s="19" t="s">
        <v>179</v>
      </c>
      <c r="K41" s="19"/>
      <c r="L41" s="27" t="s">
        <v>596</v>
      </c>
    </row>
    <row r="42" spans="1:12" x14ac:dyDescent="0.3">
      <c r="A42" s="19"/>
      <c r="B42" s="19" t="s">
        <v>42</v>
      </c>
      <c r="C42" s="19" t="s">
        <v>329</v>
      </c>
      <c r="D42" s="19">
        <v>3</v>
      </c>
      <c r="E42" s="19"/>
      <c r="F42" s="38">
        <f t="shared" ref="F42:F47" si="4">SUM(D42:E42)</f>
        <v>3</v>
      </c>
      <c r="G42" s="24"/>
      <c r="H42" s="27"/>
      <c r="I42" s="21" t="s">
        <v>92</v>
      </c>
      <c r="J42" s="19" t="s">
        <v>179</v>
      </c>
      <c r="K42" s="19"/>
      <c r="L42" s="27" t="s">
        <v>598</v>
      </c>
    </row>
    <row r="43" spans="1:12" x14ac:dyDescent="0.3">
      <c r="A43" s="19"/>
      <c r="B43" s="19" t="s">
        <v>321</v>
      </c>
      <c r="C43" s="19" t="s">
        <v>328</v>
      </c>
      <c r="D43" s="19">
        <v>1</v>
      </c>
      <c r="E43" s="19">
        <v>1</v>
      </c>
      <c r="F43" s="38">
        <f t="shared" si="4"/>
        <v>2</v>
      </c>
      <c r="G43" s="24"/>
      <c r="H43" s="27"/>
      <c r="I43" s="21" t="s">
        <v>296</v>
      </c>
      <c r="J43" s="19" t="s">
        <v>179</v>
      </c>
      <c r="K43" s="19"/>
      <c r="L43" s="27"/>
    </row>
    <row r="44" spans="1:12" x14ac:dyDescent="0.3">
      <c r="A44" s="19"/>
      <c r="B44" s="19" t="s">
        <v>60</v>
      </c>
      <c r="C44" s="19" t="s">
        <v>327</v>
      </c>
      <c r="D44" s="19">
        <v>2</v>
      </c>
      <c r="E44" s="19"/>
      <c r="F44" s="38">
        <f t="shared" si="4"/>
        <v>2</v>
      </c>
      <c r="G44" s="24"/>
      <c r="H44" s="27"/>
      <c r="I44" s="21" t="s">
        <v>102</v>
      </c>
      <c r="J44" s="19" t="s">
        <v>179</v>
      </c>
      <c r="K44" s="19"/>
      <c r="L44" s="27"/>
    </row>
    <row r="45" spans="1:12" x14ac:dyDescent="0.3">
      <c r="A45" s="19"/>
      <c r="B45" s="19" t="s">
        <v>322</v>
      </c>
      <c r="C45" s="19" t="s">
        <v>326</v>
      </c>
      <c r="D45" s="19">
        <v>2</v>
      </c>
      <c r="E45" s="19">
        <v>1</v>
      </c>
      <c r="F45" s="38">
        <f t="shared" si="4"/>
        <v>3</v>
      </c>
      <c r="G45" s="24"/>
      <c r="H45" s="27"/>
      <c r="I45" s="21" t="s">
        <v>295</v>
      </c>
      <c r="J45" s="19" t="s">
        <v>179</v>
      </c>
      <c r="K45" s="19"/>
      <c r="L45" s="27"/>
    </row>
    <row r="46" spans="1:12" x14ac:dyDescent="0.3">
      <c r="A46" s="19"/>
      <c r="B46" s="19" t="s">
        <v>323</v>
      </c>
      <c r="C46" s="19" t="s">
        <v>325</v>
      </c>
      <c r="D46" s="19">
        <v>2</v>
      </c>
      <c r="E46" s="19">
        <v>1</v>
      </c>
      <c r="F46" s="38">
        <f t="shared" si="4"/>
        <v>3</v>
      </c>
      <c r="G46" s="24"/>
      <c r="H46" s="27"/>
      <c r="I46" s="21" t="s">
        <v>296</v>
      </c>
      <c r="J46" s="19" t="s">
        <v>179</v>
      </c>
      <c r="K46" s="19"/>
      <c r="L46" s="27"/>
    </row>
    <row r="47" spans="1:12" x14ac:dyDescent="0.3">
      <c r="A47" s="19"/>
      <c r="B47" s="19" t="s">
        <v>58</v>
      </c>
      <c r="C47" s="19" t="s">
        <v>324</v>
      </c>
      <c r="D47" s="19">
        <v>2</v>
      </c>
      <c r="E47" s="19"/>
      <c r="F47" s="38">
        <f t="shared" si="4"/>
        <v>2</v>
      </c>
      <c r="G47" s="24"/>
      <c r="H47" s="27"/>
      <c r="I47" s="21" t="s">
        <v>92</v>
      </c>
      <c r="J47" s="19" t="s">
        <v>179</v>
      </c>
      <c r="K47" s="19"/>
      <c r="L47" s="27"/>
    </row>
    <row r="48" spans="1:12" s="17" customFormat="1" x14ac:dyDescent="0.3">
      <c r="A48" s="57" t="s">
        <v>73</v>
      </c>
      <c r="B48" s="57"/>
      <c r="C48" s="57"/>
      <c r="D48" s="30">
        <f>SUM(D41:D47)</f>
        <v>15</v>
      </c>
      <c r="E48" s="30">
        <f>SUM(E43:E46)</f>
        <v>3</v>
      </c>
      <c r="F48" s="30">
        <f>SUM(D48:E48)</f>
        <v>18</v>
      </c>
      <c r="G48" s="25"/>
      <c r="H48" s="28"/>
      <c r="I48" s="22"/>
      <c r="J48" s="30"/>
      <c r="K48" s="30"/>
      <c r="L48" s="28"/>
    </row>
    <row r="49" spans="1:12" x14ac:dyDescent="0.3">
      <c r="A49" s="19"/>
      <c r="B49" s="19"/>
      <c r="C49" s="19"/>
      <c r="D49" s="19"/>
      <c r="E49" s="19"/>
      <c r="F49" s="19"/>
      <c r="G49" s="24"/>
      <c r="H49" s="27" t="s">
        <v>81</v>
      </c>
      <c r="I49" s="21"/>
      <c r="J49" s="19"/>
      <c r="K49" s="19"/>
      <c r="L49" s="27"/>
    </row>
    <row r="50" spans="1:12" x14ac:dyDescent="0.3">
      <c r="A50" s="19"/>
      <c r="B50" s="19" t="s">
        <v>331</v>
      </c>
      <c r="C50" s="19" t="s">
        <v>340</v>
      </c>
      <c r="D50" s="19">
        <v>3</v>
      </c>
      <c r="E50" s="19"/>
      <c r="F50" s="19">
        <f>SUM(D50:E50)</f>
        <v>3</v>
      </c>
      <c r="G50" s="24"/>
      <c r="H50" s="27"/>
      <c r="I50" s="21" t="s">
        <v>92</v>
      </c>
      <c r="J50" s="19" t="s">
        <v>179</v>
      </c>
      <c r="K50" s="19"/>
      <c r="L50" s="27"/>
    </row>
    <row r="51" spans="1:12" x14ac:dyDescent="0.3">
      <c r="A51" s="19"/>
      <c r="B51" s="19" t="s">
        <v>332</v>
      </c>
      <c r="C51" s="19" t="s">
        <v>339</v>
      </c>
      <c r="D51" s="19">
        <v>3</v>
      </c>
      <c r="E51" s="19"/>
      <c r="F51" s="38">
        <f t="shared" ref="F51:F55" si="5">SUM(D51:E51)</f>
        <v>3</v>
      </c>
      <c r="G51" s="24"/>
      <c r="H51" s="27"/>
      <c r="I51" s="21" t="s">
        <v>92</v>
      </c>
      <c r="J51" s="19" t="s">
        <v>179</v>
      </c>
      <c r="K51" s="19"/>
      <c r="L51" s="27"/>
    </row>
    <row r="52" spans="1:12" x14ac:dyDescent="0.3">
      <c r="A52" s="19"/>
      <c r="B52" s="19" t="s">
        <v>49</v>
      </c>
      <c r="C52" s="19" t="s">
        <v>338</v>
      </c>
      <c r="D52" s="19">
        <v>3</v>
      </c>
      <c r="E52" s="19"/>
      <c r="F52" s="38">
        <f t="shared" si="5"/>
        <v>3</v>
      </c>
      <c r="G52" s="24"/>
      <c r="H52" s="27"/>
      <c r="I52" s="21" t="s">
        <v>92</v>
      </c>
      <c r="J52" s="19" t="s">
        <v>179</v>
      </c>
      <c r="K52" s="19"/>
      <c r="L52" s="27" t="s">
        <v>597</v>
      </c>
    </row>
    <row r="53" spans="1:12" x14ac:dyDescent="0.3">
      <c r="A53" s="19"/>
      <c r="B53" s="19" t="s">
        <v>333</v>
      </c>
      <c r="C53" s="19" t="s">
        <v>337</v>
      </c>
      <c r="D53" s="19">
        <v>3</v>
      </c>
      <c r="E53" s="19"/>
      <c r="F53" s="38">
        <f t="shared" si="5"/>
        <v>3</v>
      </c>
      <c r="G53" s="24"/>
      <c r="H53" s="27"/>
      <c r="I53" s="21" t="s">
        <v>295</v>
      </c>
      <c r="J53" s="19" t="s">
        <v>179</v>
      </c>
      <c r="K53" s="19"/>
      <c r="L53" s="27"/>
    </row>
    <row r="54" spans="1:12" x14ac:dyDescent="0.3">
      <c r="A54" s="19"/>
      <c r="B54" s="19" t="s">
        <v>464</v>
      </c>
      <c r="C54" s="19" t="s">
        <v>336</v>
      </c>
      <c r="D54" s="19">
        <v>2</v>
      </c>
      <c r="E54" s="19">
        <v>1</v>
      </c>
      <c r="F54" s="38">
        <f t="shared" si="5"/>
        <v>3</v>
      </c>
      <c r="G54" s="24"/>
      <c r="H54" s="27"/>
      <c r="I54" s="21" t="s">
        <v>295</v>
      </c>
      <c r="J54" s="19" t="s">
        <v>179</v>
      </c>
      <c r="K54" s="19"/>
      <c r="L54" s="27"/>
    </row>
    <row r="55" spans="1:12" x14ac:dyDescent="0.3">
      <c r="A55" s="19"/>
      <c r="B55" s="19" t="s">
        <v>334</v>
      </c>
      <c r="C55" s="19" t="s">
        <v>335</v>
      </c>
      <c r="D55" s="19">
        <v>2</v>
      </c>
      <c r="E55" s="19">
        <v>1</v>
      </c>
      <c r="F55" s="38">
        <f t="shared" si="5"/>
        <v>3</v>
      </c>
      <c r="G55" s="24"/>
      <c r="H55" s="27"/>
      <c r="I55" s="21" t="s">
        <v>296</v>
      </c>
      <c r="J55" s="19" t="s">
        <v>179</v>
      </c>
      <c r="K55" s="19"/>
      <c r="L55" s="27"/>
    </row>
    <row r="56" spans="1:12" s="17" customFormat="1" x14ac:dyDescent="0.3">
      <c r="A56" s="57" t="s">
        <v>341</v>
      </c>
      <c r="B56" s="57"/>
      <c r="C56" s="57"/>
      <c r="D56" s="30">
        <f>SUM(D50:D55)</f>
        <v>16</v>
      </c>
      <c r="E56" s="30">
        <f>SUM(E54:E55)</f>
        <v>2</v>
      </c>
      <c r="F56" s="30">
        <f>SUM(D56:E56)</f>
        <v>18</v>
      </c>
      <c r="G56" s="25"/>
      <c r="H56" s="28"/>
      <c r="I56" s="22"/>
      <c r="J56" s="30"/>
      <c r="K56" s="30"/>
      <c r="L56" s="28"/>
    </row>
    <row r="57" spans="1:12" x14ac:dyDescent="0.3">
      <c r="A57" s="19"/>
      <c r="B57" s="19"/>
      <c r="C57" s="19"/>
      <c r="D57" s="19"/>
      <c r="E57" s="19"/>
      <c r="F57" s="19"/>
      <c r="G57" s="24"/>
      <c r="H57" s="27" t="s">
        <v>85</v>
      </c>
      <c r="I57" s="21"/>
      <c r="J57" s="19"/>
      <c r="K57" s="19"/>
      <c r="L57" s="27"/>
    </row>
    <row r="58" spans="1:12" x14ac:dyDescent="0.3">
      <c r="A58" s="19"/>
      <c r="B58" s="19" t="s">
        <v>53</v>
      </c>
      <c r="C58" s="19" t="s">
        <v>126</v>
      </c>
      <c r="D58" s="19">
        <v>6</v>
      </c>
      <c r="E58" s="19"/>
      <c r="F58" s="19">
        <f>SUM(D58)</f>
        <v>6</v>
      </c>
      <c r="G58" s="24"/>
      <c r="H58" s="27"/>
      <c r="I58" s="21" t="s">
        <v>92</v>
      </c>
      <c r="J58" s="19" t="s">
        <v>179</v>
      </c>
      <c r="K58" s="19"/>
      <c r="L58" s="27" t="s">
        <v>599</v>
      </c>
    </row>
    <row r="59" spans="1:12" s="17" customFormat="1" x14ac:dyDescent="0.3">
      <c r="A59" s="57" t="s">
        <v>73</v>
      </c>
      <c r="B59" s="57"/>
      <c r="C59" s="57"/>
      <c r="D59" s="30">
        <f>SUM(D58)</f>
        <v>6</v>
      </c>
      <c r="E59" s="30"/>
      <c r="F59" s="30">
        <f>SUM(D59)</f>
        <v>6</v>
      </c>
      <c r="G59" s="25"/>
      <c r="H59" s="28"/>
      <c r="I59" s="22"/>
      <c r="J59" s="30"/>
      <c r="K59" s="30"/>
      <c r="L59" s="28"/>
    </row>
    <row r="60" spans="1:12" x14ac:dyDescent="0.3">
      <c r="A60" s="19"/>
      <c r="B60" s="19"/>
      <c r="C60" s="19"/>
      <c r="D60" s="19"/>
      <c r="E60" s="19"/>
      <c r="F60" s="19"/>
      <c r="G60" s="24" t="s">
        <v>86</v>
      </c>
      <c r="H60" s="27" t="s">
        <v>14</v>
      </c>
      <c r="I60" s="21"/>
      <c r="J60" s="19"/>
      <c r="K60" s="19"/>
      <c r="L60" s="27"/>
    </row>
    <row r="61" spans="1:12" x14ac:dyDescent="0.3">
      <c r="A61" s="19"/>
      <c r="B61" s="19" t="s">
        <v>54</v>
      </c>
      <c r="C61" s="19" t="s">
        <v>80</v>
      </c>
      <c r="D61" s="19">
        <v>3</v>
      </c>
      <c r="E61" s="19"/>
      <c r="F61" s="19">
        <f>SUM(D61:E61)</f>
        <v>3</v>
      </c>
      <c r="G61" s="24"/>
      <c r="H61" s="27"/>
      <c r="I61" s="21" t="s">
        <v>92</v>
      </c>
      <c r="J61" s="19" t="s">
        <v>179</v>
      </c>
      <c r="K61" s="19"/>
      <c r="L61" s="27" t="s">
        <v>591</v>
      </c>
    </row>
    <row r="62" spans="1:12" x14ac:dyDescent="0.3">
      <c r="A62" s="19"/>
      <c r="B62" s="19" t="s">
        <v>55</v>
      </c>
      <c r="C62" s="19" t="s">
        <v>350</v>
      </c>
      <c r="D62" s="19">
        <v>3</v>
      </c>
      <c r="E62" s="19"/>
      <c r="F62" s="38">
        <f t="shared" ref="F62:F66" si="6">SUM(D62:E62)</f>
        <v>3</v>
      </c>
      <c r="G62" s="24"/>
      <c r="H62" s="27"/>
      <c r="I62" s="21" t="s">
        <v>92</v>
      </c>
      <c r="J62" s="19" t="s">
        <v>179</v>
      </c>
      <c r="K62" s="19"/>
      <c r="L62" s="27" t="s">
        <v>591</v>
      </c>
    </row>
    <row r="63" spans="1:12" x14ac:dyDescent="0.3">
      <c r="A63" s="19"/>
      <c r="B63" s="19" t="s">
        <v>342</v>
      </c>
      <c r="C63" s="19" t="s">
        <v>351</v>
      </c>
      <c r="D63" s="19">
        <v>2</v>
      </c>
      <c r="E63" s="19">
        <v>1</v>
      </c>
      <c r="F63" s="38">
        <f t="shared" si="6"/>
        <v>3</v>
      </c>
      <c r="G63" s="24"/>
      <c r="H63" s="27"/>
      <c r="I63" s="21" t="s">
        <v>295</v>
      </c>
      <c r="J63" s="19" t="s">
        <v>179</v>
      </c>
      <c r="K63" s="19"/>
      <c r="L63" s="27"/>
    </row>
    <row r="64" spans="1:12" x14ac:dyDescent="0.3">
      <c r="A64" s="19"/>
      <c r="B64" s="19" t="s">
        <v>343</v>
      </c>
      <c r="C64" s="19" t="s">
        <v>352</v>
      </c>
      <c r="D64" s="19">
        <v>2</v>
      </c>
      <c r="E64" s="19">
        <v>1</v>
      </c>
      <c r="F64" s="38">
        <f t="shared" si="6"/>
        <v>3</v>
      </c>
      <c r="G64" s="24"/>
      <c r="H64" s="27"/>
      <c r="I64" s="21" t="s">
        <v>295</v>
      </c>
      <c r="J64" s="19" t="s">
        <v>179</v>
      </c>
      <c r="K64" s="19"/>
      <c r="L64" s="27"/>
    </row>
    <row r="65" spans="1:12" x14ac:dyDescent="0.3">
      <c r="A65" s="19"/>
      <c r="B65" s="19" t="s">
        <v>344</v>
      </c>
      <c r="C65" s="19" t="s">
        <v>353</v>
      </c>
      <c r="D65" s="19">
        <v>2</v>
      </c>
      <c r="E65" s="19">
        <v>1</v>
      </c>
      <c r="F65" s="38">
        <f t="shared" si="6"/>
        <v>3</v>
      </c>
      <c r="G65" s="24"/>
      <c r="H65" s="27"/>
      <c r="I65" s="21" t="s">
        <v>296</v>
      </c>
      <c r="J65" s="19" t="s">
        <v>179</v>
      </c>
      <c r="K65" s="19"/>
      <c r="L65" s="27"/>
    </row>
    <row r="66" spans="1:12" x14ac:dyDescent="0.3">
      <c r="A66" s="19"/>
      <c r="B66" s="19" t="s">
        <v>345</v>
      </c>
      <c r="C66" s="19" t="s">
        <v>354</v>
      </c>
      <c r="D66" s="19">
        <v>2</v>
      </c>
      <c r="E66" s="19">
        <v>1</v>
      </c>
      <c r="F66" s="38">
        <f t="shared" si="6"/>
        <v>3</v>
      </c>
      <c r="G66" s="24"/>
      <c r="H66" s="27"/>
      <c r="I66" s="21" t="s">
        <v>296</v>
      </c>
      <c r="J66" s="19" t="s">
        <v>179</v>
      </c>
      <c r="K66" s="19"/>
      <c r="L66" s="27"/>
    </row>
    <row r="67" spans="1:12" s="17" customFormat="1" x14ac:dyDescent="0.3">
      <c r="A67" s="57" t="s">
        <v>73</v>
      </c>
      <c r="B67" s="57"/>
      <c r="C67" s="57"/>
      <c r="D67" s="30">
        <f>SUM(D61:D66)</f>
        <v>14</v>
      </c>
      <c r="E67" s="30">
        <f>SUM(E63:E66)</f>
        <v>4</v>
      </c>
      <c r="F67" s="30">
        <f>SUM(D67:E67)</f>
        <v>18</v>
      </c>
      <c r="G67" s="25"/>
      <c r="H67" s="28"/>
      <c r="I67" s="22"/>
      <c r="J67" s="30"/>
      <c r="K67" s="30"/>
      <c r="L67" s="28"/>
    </row>
    <row r="68" spans="1:12" x14ac:dyDescent="0.3">
      <c r="A68" s="19"/>
      <c r="B68" s="19"/>
      <c r="C68" s="19"/>
      <c r="D68" s="19"/>
      <c r="E68" s="19"/>
      <c r="F68" s="19"/>
      <c r="G68" s="24"/>
      <c r="H68" s="27" t="s">
        <v>81</v>
      </c>
      <c r="I68" s="21"/>
      <c r="J68" s="19"/>
      <c r="K68" s="19"/>
      <c r="L68" s="27"/>
    </row>
    <row r="69" spans="1:12" x14ac:dyDescent="0.3">
      <c r="A69" s="19"/>
      <c r="B69" s="19" t="s">
        <v>61</v>
      </c>
      <c r="C69" s="19" t="s">
        <v>72</v>
      </c>
      <c r="D69" s="19">
        <v>2</v>
      </c>
      <c r="E69" s="19"/>
      <c r="F69" s="19">
        <f>SUM(D69:E69)</f>
        <v>2</v>
      </c>
      <c r="G69" s="24"/>
      <c r="H69" s="27"/>
      <c r="I69" s="21" t="s">
        <v>92</v>
      </c>
      <c r="J69" s="19" t="s">
        <v>179</v>
      </c>
      <c r="K69" s="19"/>
      <c r="L69" s="27" t="s">
        <v>591</v>
      </c>
    </row>
    <row r="70" spans="1:12" x14ac:dyDescent="0.3">
      <c r="A70" s="19"/>
      <c r="B70" s="19" t="s">
        <v>62</v>
      </c>
      <c r="C70" s="19" t="s">
        <v>355</v>
      </c>
      <c r="D70" s="19">
        <v>3</v>
      </c>
      <c r="E70" s="19"/>
      <c r="F70" s="38">
        <f t="shared" ref="F70:F74" si="7">SUM(D70:E70)</f>
        <v>3</v>
      </c>
      <c r="G70" s="24"/>
      <c r="H70" s="27"/>
      <c r="I70" s="21" t="s">
        <v>92</v>
      </c>
      <c r="J70" s="19" t="s">
        <v>179</v>
      </c>
      <c r="K70" s="19"/>
      <c r="L70" s="27" t="s">
        <v>591</v>
      </c>
    </row>
    <row r="71" spans="1:12" x14ac:dyDescent="0.3">
      <c r="A71" s="19"/>
      <c r="B71" s="19" t="s">
        <v>346</v>
      </c>
      <c r="C71" s="19" t="s">
        <v>356</v>
      </c>
      <c r="D71" s="19">
        <v>3</v>
      </c>
      <c r="E71" s="19"/>
      <c r="F71" s="38">
        <f t="shared" si="7"/>
        <v>3</v>
      </c>
      <c r="G71" s="24"/>
      <c r="H71" s="27"/>
      <c r="I71" s="21" t="s">
        <v>295</v>
      </c>
      <c r="J71" s="19" t="s">
        <v>179</v>
      </c>
      <c r="K71" s="19"/>
      <c r="L71" s="27"/>
    </row>
    <row r="72" spans="1:12" x14ac:dyDescent="0.3">
      <c r="A72" s="19"/>
      <c r="B72" s="19" t="s">
        <v>347</v>
      </c>
      <c r="C72" s="19" t="s">
        <v>357</v>
      </c>
      <c r="D72" s="19">
        <v>2</v>
      </c>
      <c r="E72" s="19">
        <v>1</v>
      </c>
      <c r="F72" s="38">
        <f t="shared" si="7"/>
        <v>3</v>
      </c>
      <c r="G72" s="24"/>
      <c r="H72" s="27"/>
      <c r="I72" s="21" t="s">
        <v>296</v>
      </c>
      <c r="J72" s="19" t="s">
        <v>179</v>
      </c>
      <c r="K72" s="19"/>
      <c r="L72" s="27"/>
    </row>
    <row r="73" spans="1:12" x14ac:dyDescent="0.3">
      <c r="A73" s="19"/>
      <c r="B73" s="19" t="s">
        <v>348</v>
      </c>
      <c r="C73" s="19" t="s">
        <v>358</v>
      </c>
      <c r="D73" s="19">
        <v>2</v>
      </c>
      <c r="E73" s="19">
        <v>1</v>
      </c>
      <c r="F73" s="38">
        <f t="shared" si="7"/>
        <v>3</v>
      </c>
      <c r="G73" s="24"/>
      <c r="H73" s="27"/>
      <c r="I73" s="21" t="s">
        <v>296</v>
      </c>
      <c r="J73" s="19" t="s">
        <v>179</v>
      </c>
      <c r="K73" s="19"/>
      <c r="L73" s="27"/>
    </row>
    <row r="74" spans="1:12" x14ac:dyDescent="0.3">
      <c r="A74" s="19"/>
      <c r="B74" s="19" t="s">
        <v>349</v>
      </c>
      <c r="C74" s="19" t="s">
        <v>359</v>
      </c>
      <c r="D74" s="19">
        <v>3</v>
      </c>
      <c r="E74" s="19"/>
      <c r="F74" s="38">
        <f t="shared" si="7"/>
        <v>3</v>
      </c>
      <c r="G74" s="24"/>
      <c r="H74" s="27"/>
      <c r="I74" s="21" t="s">
        <v>296</v>
      </c>
      <c r="J74" s="19" t="s">
        <v>179</v>
      </c>
      <c r="K74" s="19"/>
      <c r="L74" s="27"/>
    </row>
    <row r="75" spans="1:12" s="17" customFormat="1" x14ac:dyDescent="0.3">
      <c r="A75" s="57" t="s">
        <v>73</v>
      </c>
      <c r="B75" s="57"/>
      <c r="C75" s="57"/>
      <c r="D75" s="30">
        <f>SUM(D69:D74)</f>
        <v>15</v>
      </c>
      <c r="E75" s="30"/>
      <c r="F75" s="30">
        <f>SUM(F69:F74)</f>
        <v>17</v>
      </c>
      <c r="G75" s="25"/>
      <c r="H75" s="28"/>
      <c r="I75" s="22"/>
      <c r="J75" s="30"/>
      <c r="K75" s="30"/>
      <c r="L75" s="28"/>
    </row>
    <row r="77" spans="1:12" x14ac:dyDescent="0.3">
      <c r="A77" t="s">
        <v>603</v>
      </c>
    </row>
    <row r="78" spans="1:12" x14ac:dyDescent="0.3">
      <c r="A78" t="s">
        <v>608</v>
      </c>
      <c r="B78">
        <f>SUMIF(I4:I74,I6,F4:F75)</f>
        <v>11</v>
      </c>
    </row>
    <row r="79" spans="1:12" x14ac:dyDescent="0.3">
      <c r="A79" t="s">
        <v>618</v>
      </c>
      <c r="B79">
        <f>SUMIF(I5:I74,I71,F5:F74)</f>
        <v>42</v>
      </c>
    </row>
    <row r="80" spans="1:12" x14ac:dyDescent="0.3">
      <c r="A80" t="s">
        <v>296</v>
      </c>
      <c r="B80">
        <f>SUMIF(I5:I75,I72,F5:F75)</f>
        <v>41</v>
      </c>
    </row>
    <row r="81" spans="1:2" x14ac:dyDescent="0.3">
      <c r="A81" t="s">
        <v>92</v>
      </c>
      <c r="B81">
        <f>SUMIF(I5:I75,I69,F5:F75)</f>
        <v>52</v>
      </c>
    </row>
    <row r="82" spans="1:2" x14ac:dyDescent="0.3">
      <c r="A82" t="s">
        <v>610</v>
      </c>
      <c r="B82">
        <f>SUM(B78:B81)</f>
        <v>146</v>
      </c>
    </row>
    <row r="85" spans="1:2" x14ac:dyDescent="0.3">
      <c r="A85" t="s">
        <v>604</v>
      </c>
    </row>
    <row r="86" spans="1:2" x14ac:dyDescent="0.3">
      <c r="A86" t="s">
        <v>605</v>
      </c>
      <c r="B86" t="s">
        <v>606</v>
      </c>
    </row>
    <row r="87" spans="1:2" x14ac:dyDescent="0.3">
      <c r="A87" t="s">
        <v>607</v>
      </c>
      <c r="B87" t="s">
        <v>606</v>
      </c>
    </row>
  </sheetData>
  <mergeCells count="10">
    <mergeCell ref="A75:C75"/>
    <mergeCell ref="A67:C67"/>
    <mergeCell ref="D2:F2"/>
    <mergeCell ref="A12:C12"/>
    <mergeCell ref="A23:C23"/>
    <mergeCell ref="A31:C31"/>
    <mergeCell ref="A39:C39"/>
    <mergeCell ref="A59:C59"/>
    <mergeCell ref="A56:C56"/>
    <mergeCell ref="A48:C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topLeftCell="A73" zoomScaleNormal="100" workbookViewId="0">
      <selection activeCell="G100" sqref="G100"/>
    </sheetView>
  </sheetViews>
  <sheetFormatPr defaultRowHeight="14.4" x14ac:dyDescent="0.3"/>
  <cols>
    <col min="1" max="1" width="9.109375" style="38"/>
    <col min="2" max="2" width="12.109375" style="38" bestFit="1" customWidth="1"/>
    <col min="3" max="3" width="51.5546875" style="38" bestFit="1" customWidth="1"/>
    <col min="4" max="4" width="7.109375" style="38" bestFit="1" customWidth="1"/>
    <col min="5" max="5" width="14.6640625" style="38" customWidth="1"/>
    <col min="6" max="6" width="18.109375" style="38" customWidth="1"/>
    <col min="7" max="7" width="10.33203125" style="24" bestFit="1" customWidth="1"/>
    <col min="8" max="8" width="14.88671875" style="27" bestFit="1" customWidth="1"/>
    <col min="9" max="9" width="30.44140625" style="21" bestFit="1" customWidth="1"/>
    <col min="10" max="10" width="39.109375" style="38" bestFit="1" customWidth="1"/>
    <col min="11" max="11" width="5.6640625" bestFit="1" customWidth="1"/>
    <col min="12" max="12" width="158.88671875" style="27" bestFit="1" customWidth="1"/>
  </cols>
  <sheetData>
    <row r="1" spans="1:12" x14ac:dyDescent="0.3">
      <c r="A1" s="45" t="s">
        <v>0</v>
      </c>
      <c r="B1" s="45" t="s">
        <v>1</v>
      </c>
      <c r="C1" s="45" t="s">
        <v>2</v>
      </c>
      <c r="D1" s="59" t="s">
        <v>3</v>
      </c>
      <c r="E1" s="59"/>
      <c r="F1" s="59"/>
      <c r="G1" s="12" t="s">
        <v>4</v>
      </c>
      <c r="H1" s="13" t="s">
        <v>5</v>
      </c>
      <c r="I1" s="14" t="s">
        <v>6</v>
      </c>
      <c r="J1" s="45" t="s">
        <v>7</v>
      </c>
      <c r="K1" s="11" t="s">
        <v>8</v>
      </c>
      <c r="L1" s="13" t="s">
        <v>9</v>
      </c>
    </row>
    <row r="2" spans="1:12" x14ac:dyDescent="0.3">
      <c r="A2" s="45" t="s">
        <v>280</v>
      </c>
      <c r="B2" s="45" t="s">
        <v>10</v>
      </c>
      <c r="C2" s="45" t="s">
        <v>11</v>
      </c>
      <c r="D2" s="59" t="s">
        <v>12</v>
      </c>
      <c r="E2" s="59"/>
      <c r="F2" s="59"/>
      <c r="G2" s="12" t="s">
        <v>13</v>
      </c>
      <c r="H2" s="13" t="s">
        <v>14</v>
      </c>
      <c r="I2" s="14"/>
      <c r="J2" s="45"/>
      <c r="K2" s="11"/>
      <c r="L2" s="13"/>
    </row>
    <row r="3" spans="1:12" x14ac:dyDescent="0.3">
      <c r="A3" s="45"/>
      <c r="B3" s="45"/>
      <c r="C3" s="45"/>
      <c r="D3" s="45" t="s">
        <v>282</v>
      </c>
      <c r="E3" s="45" t="s">
        <v>283</v>
      </c>
      <c r="F3" s="45" t="s">
        <v>284</v>
      </c>
      <c r="G3" s="12"/>
      <c r="H3" s="13"/>
      <c r="I3" s="14"/>
      <c r="J3" s="45"/>
      <c r="K3" s="11"/>
      <c r="L3" s="13"/>
    </row>
    <row r="4" spans="1:12" x14ac:dyDescent="0.3">
      <c r="B4" s="38" t="s">
        <v>16</v>
      </c>
      <c r="C4" s="38" t="s">
        <v>87</v>
      </c>
      <c r="D4" s="38">
        <v>3</v>
      </c>
      <c r="F4" s="38">
        <f>SUM(D4:E4)</f>
        <v>3</v>
      </c>
      <c r="I4" s="21" t="s">
        <v>92</v>
      </c>
      <c r="J4" s="38" t="s">
        <v>179</v>
      </c>
      <c r="K4" s="19"/>
    </row>
    <row r="5" spans="1:12" x14ac:dyDescent="0.3">
      <c r="B5" s="38" t="s">
        <v>29</v>
      </c>
      <c r="C5" s="38" t="s">
        <v>89</v>
      </c>
      <c r="D5" s="38">
        <v>2</v>
      </c>
      <c r="F5" s="38">
        <f t="shared" ref="F5:F11" si="0">SUM(D5:E5)</f>
        <v>2</v>
      </c>
      <c r="I5" s="21" t="s">
        <v>92</v>
      </c>
      <c r="J5" s="38" t="s">
        <v>179</v>
      </c>
      <c r="K5" s="19"/>
    </row>
    <row r="6" spans="1:12" x14ac:dyDescent="0.3">
      <c r="B6" s="38" t="s">
        <v>17</v>
      </c>
      <c r="C6" s="38" t="s">
        <v>88</v>
      </c>
      <c r="D6" s="38">
        <v>3</v>
      </c>
      <c r="F6" s="38">
        <f t="shared" si="0"/>
        <v>3</v>
      </c>
      <c r="I6" s="21" t="s">
        <v>102</v>
      </c>
      <c r="J6" s="38" t="s">
        <v>179</v>
      </c>
      <c r="K6" s="19"/>
    </row>
    <row r="7" spans="1:12" x14ac:dyDescent="0.3">
      <c r="B7" s="38" t="s">
        <v>361</v>
      </c>
      <c r="C7" s="38" t="s">
        <v>363</v>
      </c>
      <c r="D7" s="38">
        <v>2</v>
      </c>
      <c r="E7" s="38">
        <v>1</v>
      </c>
      <c r="F7" s="38">
        <f t="shared" si="0"/>
        <v>3</v>
      </c>
      <c r="I7" s="21" t="s">
        <v>365</v>
      </c>
      <c r="J7" s="38" t="s">
        <v>179</v>
      </c>
      <c r="K7" s="19"/>
    </row>
    <row r="8" spans="1:12" x14ac:dyDescent="0.3">
      <c r="B8" s="38" t="s">
        <v>360</v>
      </c>
      <c r="C8" s="38" t="s">
        <v>364</v>
      </c>
      <c r="D8" s="38">
        <v>2</v>
      </c>
      <c r="E8" s="38">
        <v>1</v>
      </c>
      <c r="F8" s="38">
        <f t="shared" si="0"/>
        <v>3</v>
      </c>
      <c r="I8" s="21" t="s">
        <v>365</v>
      </c>
      <c r="J8" s="38" t="s">
        <v>179</v>
      </c>
      <c r="K8" s="19"/>
    </row>
    <row r="9" spans="1:12" x14ac:dyDescent="0.3">
      <c r="B9" s="38" t="s">
        <v>287</v>
      </c>
      <c r="C9" s="38" t="s">
        <v>292</v>
      </c>
      <c r="D9" s="38">
        <v>1</v>
      </c>
      <c r="F9" s="38">
        <f t="shared" si="0"/>
        <v>1</v>
      </c>
      <c r="I9" s="21" t="s">
        <v>296</v>
      </c>
      <c r="J9" s="38" t="s">
        <v>179</v>
      </c>
      <c r="K9" s="19"/>
    </row>
    <row r="10" spans="1:12" x14ac:dyDescent="0.3">
      <c r="B10" s="38" t="s">
        <v>288</v>
      </c>
      <c r="C10" s="38" t="s">
        <v>293</v>
      </c>
      <c r="D10" s="38">
        <v>2</v>
      </c>
      <c r="F10" s="38">
        <f t="shared" si="0"/>
        <v>2</v>
      </c>
      <c r="I10" s="21" t="s">
        <v>296</v>
      </c>
      <c r="J10" s="38" t="s">
        <v>179</v>
      </c>
      <c r="K10" s="19"/>
    </row>
    <row r="11" spans="1:12" x14ac:dyDescent="0.3">
      <c r="B11" s="38" t="s">
        <v>362</v>
      </c>
      <c r="C11" s="38" t="s">
        <v>294</v>
      </c>
      <c r="D11" s="38">
        <v>1</v>
      </c>
      <c r="F11" s="38">
        <f t="shared" si="0"/>
        <v>1</v>
      </c>
      <c r="I11" s="21" t="s">
        <v>296</v>
      </c>
      <c r="J11" s="38" t="s">
        <v>179</v>
      </c>
      <c r="K11" s="19"/>
    </row>
    <row r="12" spans="1:12" s="17" customFormat="1" x14ac:dyDescent="0.3">
      <c r="A12" s="57" t="s">
        <v>73</v>
      </c>
      <c r="B12" s="57"/>
      <c r="C12" s="57"/>
      <c r="D12" s="36">
        <f>SUM(D4:D11)</f>
        <v>16</v>
      </c>
      <c r="E12" s="36">
        <f>SUM(E7:E8)</f>
        <v>2</v>
      </c>
      <c r="F12" s="36">
        <f>SUM(D12:E12)</f>
        <v>18</v>
      </c>
      <c r="G12" s="25"/>
      <c r="H12" s="28"/>
      <c r="I12" s="22"/>
      <c r="J12" s="36"/>
      <c r="K12" s="30"/>
      <c r="L12" s="28"/>
    </row>
    <row r="13" spans="1:12" x14ac:dyDescent="0.3">
      <c r="H13" s="27" t="s">
        <v>81</v>
      </c>
      <c r="K13" s="19"/>
    </row>
    <row r="14" spans="1:12" x14ac:dyDescent="0.3">
      <c r="B14" s="38" t="s">
        <v>22</v>
      </c>
      <c r="C14" s="38" t="s">
        <v>95</v>
      </c>
      <c r="D14" s="38">
        <v>2</v>
      </c>
      <c r="F14" s="38">
        <f>SUM(D14:E14)</f>
        <v>2</v>
      </c>
      <c r="I14" s="21" t="s">
        <v>92</v>
      </c>
      <c r="J14" s="38" t="s">
        <v>179</v>
      </c>
      <c r="K14" s="19"/>
    </row>
    <row r="15" spans="1:12" x14ac:dyDescent="0.3">
      <c r="B15" s="38" t="s">
        <v>23</v>
      </c>
      <c r="C15" s="38" t="s">
        <v>96</v>
      </c>
      <c r="D15" s="38">
        <v>2</v>
      </c>
      <c r="F15" s="38">
        <f t="shared" ref="F15:F22" si="1">SUM(D15:E15)</f>
        <v>2</v>
      </c>
      <c r="I15" s="21" t="s">
        <v>92</v>
      </c>
      <c r="J15" s="38" t="s">
        <v>179</v>
      </c>
      <c r="K15" s="19"/>
      <c r="L15" s="27" t="s">
        <v>592</v>
      </c>
    </row>
    <row r="16" spans="1:12" x14ac:dyDescent="0.3">
      <c r="B16" s="38" t="s">
        <v>24</v>
      </c>
      <c r="C16" s="38" t="s">
        <v>170</v>
      </c>
      <c r="D16" s="38">
        <v>1</v>
      </c>
      <c r="F16" s="38">
        <f t="shared" si="1"/>
        <v>1</v>
      </c>
      <c r="I16" s="21" t="s">
        <v>102</v>
      </c>
      <c r="J16" s="38" t="s">
        <v>179</v>
      </c>
      <c r="K16" s="19"/>
    </row>
    <row r="17" spans="1:12" x14ac:dyDescent="0.3">
      <c r="B17" s="38" t="s">
        <v>25</v>
      </c>
      <c r="C17" s="38" t="s">
        <v>171</v>
      </c>
      <c r="D17" s="38">
        <v>2</v>
      </c>
      <c r="F17" s="38">
        <f t="shared" si="1"/>
        <v>2</v>
      </c>
      <c r="I17" s="21" t="s">
        <v>102</v>
      </c>
      <c r="J17" s="38" t="s">
        <v>179</v>
      </c>
      <c r="K17" s="19"/>
    </row>
    <row r="18" spans="1:12" x14ac:dyDescent="0.3">
      <c r="B18" s="38" t="s">
        <v>366</v>
      </c>
      <c r="C18" s="38" t="s">
        <v>368</v>
      </c>
      <c r="D18" s="38">
        <v>2</v>
      </c>
      <c r="E18" s="38">
        <v>1</v>
      </c>
      <c r="F18" s="38">
        <f t="shared" si="1"/>
        <v>3</v>
      </c>
      <c r="I18" s="21" t="s">
        <v>365</v>
      </c>
      <c r="J18" s="38" t="s">
        <v>179</v>
      </c>
      <c r="K18" s="19"/>
    </row>
    <row r="19" spans="1:12" x14ac:dyDescent="0.3">
      <c r="B19" s="38" t="s">
        <v>367</v>
      </c>
      <c r="C19" s="38" t="s">
        <v>369</v>
      </c>
      <c r="D19" s="38">
        <v>2</v>
      </c>
      <c r="E19" s="38">
        <v>1</v>
      </c>
      <c r="F19" s="38">
        <f t="shared" si="1"/>
        <v>3</v>
      </c>
      <c r="I19" s="21" t="s">
        <v>365</v>
      </c>
      <c r="J19" s="38" t="s">
        <v>179</v>
      </c>
      <c r="K19" s="19"/>
    </row>
    <row r="20" spans="1:12" x14ac:dyDescent="0.3">
      <c r="B20" s="38" t="s">
        <v>298</v>
      </c>
      <c r="C20" s="38" t="s">
        <v>303</v>
      </c>
      <c r="D20" s="38">
        <v>2</v>
      </c>
      <c r="E20" s="38">
        <v>1</v>
      </c>
      <c r="F20" s="38">
        <f t="shared" si="1"/>
        <v>3</v>
      </c>
      <c r="I20" s="21" t="s">
        <v>296</v>
      </c>
      <c r="J20" s="38" t="s">
        <v>179</v>
      </c>
      <c r="K20" s="19"/>
    </row>
    <row r="21" spans="1:12" x14ac:dyDescent="0.3">
      <c r="B21" s="38" t="s">
        <v>299</v>
      </c>
      <c r="C21" s="38" t="s">
        <v>293</v>
      </c>
      <c r="D21" s="38">
        <v>1</v>
      </c>
      <c r="F21" s="38">
        <f t="shared" si="1"/>
        <v>1</v>
      </c>
      <c r="I21" s="21" t="s">
        <v>296</v>
      </c>
      <c r="J21" s="38" t="s">
        <v>179</v>
      </c>
      <c r="K21" s="19"/>
    </row>
    <row r="22" spans="1:12" x14ac:dyDescent="0.3">
      <c r="B22" s="38" t="s">
        <v>300</v>
      </c>
      <c r="C22" s="38" t="s">
        <v>304</v>
      </c>
      <c r="D22" s="38">
        <v>1</v>
      </c>
      <c r="F22" s="38">
        <f t="shared" si="1"/>
        <v>1</v>
      </c>
      <c r="I22" s="21" t="s">
        <v>296</v>
      </c>
      <c r="J22" s="38" t="s">
        <v>179</v>
      </c>
      <c r="K22" s="19"/>
    </row>
    <row r="23" spans="1:12" s="17" customFormat="1" x14ac:dyDescent="0.3">
      <c r="A23" s="57" t="s">
        <v>73</v>
      </c>
      <c r="B23" s="57"/>
      <c r="C23" s="57"/>
      <c r="D23" s="36">
        <f>SUM(D14:D22)</f>
        <v>15</v>
      </c>
      <c r="E23" s="36">
        <f>SUM(E18:E20)</f>
        <v>3</v>
      </c>
      <c r="F23" s="36">
        <f>SUM(D23:E23)</f>
        <v>18</v>
      </c>
      <c r="G23" s="25"/>
      <c r="H23" s="28"/>
      <c r="I23" s="22"/>
      <c r="J23" s="36"/>
      <c r="K23" s="30"/>
      <c r="L23" s="28"/>
    </row>
    <row r="24" spans="1:12" x14ac:dyDescent="0.3">
      <c r="G24" s="24" t="s">
        <v>136</v>
      </c>
      <c r="H24" s="27" t="s">
        <v>14</v>
      </c>
      <c r="K24" s="19"/>
    </row>
    <row r="25" spans="1:12" x14ac:dyDescent="0.3">
      <c r="B25" s="38" t="s">
        <v>30</v>
      </c>
      <c r="C25" s="38" t="s">
        <v>103</v>
      </c>
      <c r="D25" s="38">
        <v>3</v>
      </c>
      <c r="F25" s="38">
        <f>SUM(D25:E25)</f>
        <v>3</v>
      </c>
      <c r="I25" s="21" t="s">
        <v>92</v>
      </c>
      <c r="J25" s="38" t="s">
        <v>179</v>
      </c>
      <c r="K25" s="19"/>
      <c r="L25" s="27" t="s">
        <v>594</v>
      </c>
    </row>
    <row r="26" spans="1:12" x14ac:dyDescent="0.3">
      <c r="B26" s="38" t="s">
        <v>370</v>
      </c>
      <c r="C26" s="38" t="s">
        <v>375</v>
      </c>
      <c r="D26" s="38">
        <v>3</v>
      </c>
      <c r="F26" s="38">
        <f t="shared" ref="F26:F29" si="2">SUM(D26:E26)</f>
        <v>3</v>
      </c>
      <c r="I26" s="21" t="s">
        <v>365</v>
      </c>
      <c r="J26" s="38" t="s">
        <v>179</v>
      </c>
      <c r="K26" s="19"/>
    </row>
    <row r="27" spans="1:12" x14ac:dyDescent="0.3">
      <c r="B27" s="38" t="s">
        <v>371</v>
      </c>
      <c r="C27" s="38" t="s">
        <v>376</v>
      </c>
      <c r="D27" s="38">
        <v>3</v>
      </c>
      <c r="E27" s="38">
        <v>1</v>
      </c>
      <c r="F27" s="38">
        <f t="shared" si="2"/>
        <v>4</v>
      </c>
      <c r="I27" s="21" t="s">
        <v>365</v>
      </c>
      <c r="J27" s="38" t="s">
        <v>179</v>
      </c>
      <c r="K27" s="19"/>
    </row>
    <row r="28" spans="1:12" x14ac:dyDescent="0.3">
      <c r="B28" s="38" t="s">
        <v>307</v>
      </c>
      <c r="C28" s="38" t="s">
        <v>315</v>
      </c>
      <c r="D28" s="38">
        <v>2</v>
      </c>
      <c r="E28" s="38">
        <v>1</v>
      </c>
      <c r="F28" s="38">
        <f t="shared" si="2"/>
        <v>3</v>
      </c>
      <c r="I28" s="21" t="s">
        <v>296</v>
      </c>
      <c r="J28" s="38" t="s">
        <v>179</v>
      </c>
      <c r="K28" s="19"/>
    </row>
    <row r="29" spans="1:12" x14ac:dyDescent="0.3">
      <c r="B29" s="38" t="s">
        <v>308</v>
      </c>
      <c r="C29" s="38" t="s">
        <v>374</v>
      </c>
      <c r="D29" s="38">
        <v>2</v>
      </c>
      <c r="E29" s="38">
        <v>1</v>
      </c>
      <c r="F29" s="38">
        <f t="shared" si="2"/>
        <v>3</v>
      </c>
      <c r="I29" s="21" t="s">
        <v>296</v>
      </c>
      <c r="J29" s="38" t="s">
        <v>179</v>
      </c>
      <c r="K29" s="19"/>
    </row>
    <row r="30" spans="1:12" s="17" customFormat="1" x14ac:dyDescent="0.3">
      <c r="A30" s="57" t="s">
        <v>73</v>
      </c>
      <c r="B30" s="57"/>
      <c r="C30" s="57"/>
      <c r="D30" s="36">
        <f>SUM(D25:D29)</f>
        <v>13</v>
      </c>
      <c r="E30" s="36">
        <f>SUM(E27:E29)</f>
        <v>3</v>
      </c>
      <c r="F30" s="36">
        <f>SUM(D30:E30)</f>
        <v>16</v>
      </c>
      <c r="G30" s="25"/>
      <c r="H30" s="28"/>
      <c r="I30" s="22"/>
      <c r="J30" s="36"/>
      <c r="K30" s="30"/>
      <c r="L30" s="28"/>
    </row>
    <row r="31" spans="1:12" x14ac:dyDescent="0.3">
      <c r="H31" s="27" t="s">
        <v>81</v>
      </c>
      <c r="K31" s="19"/>
    </row>
    <row r="32" spans="1:12" x14ac:dyDescent="0.3">
      <c r="B32" s="38" t="s">
        <v>35</v>
      </c>
      <c r="C32" s="38" t="s">
        <v>110</v>
      </c>
      <c r="D32" s="38">
        <v>3</v>
      </c>
      <c r="F32" s="38">
        <f>SUM(D32:E32)</f>
        <v>3</v>
      </c>
      <c r="I32" s="21" t="s">
        <v>92</v>
      </c>
      <c r="J32" s="38" t="s">
        <v>179</v>
      </c>
      <c r="K32" s="19"/>
      <c r="L32" s="27" t="s">
        <v>595</v>
      </c>
    </row>
    <row r="33" spans="1:12" x14ac:dyDescent="0.3">
      <c r="B33" s="38" t="s">
        <v>36</v>
      </c>
      <c r="C33" s="38" t="s">
        <v>316</v>
      </c>
      <c r="D33" s="38">
        <v>3</v>
      </c>
      <c r="F33" s="38">
        <f t="shared" ref="F33:F37" si="3">SUM(D33:E33)</f>
        <v>3</v>
      </c>
      <c r="I33" s="21" t="s">
        <v>92</v>
      </c>
      <c r="J33" s="38" t="s">
        <v>179</v>
      </c>
      <c r="K33" s="19"/>
    </row>
    <row r="34" spans="1:12" x14ac:dyDescent="0.3">
      <c r="B34" s="38" t="s">
        <v>37</v>
      </c>
      <c r="C34" s="38" t="s">
        <v>317</v>
      </c>
      <c r="D34" s="38">
        <v>3</v>
      </c>
      <c r="F34" s="38">
        <f t="shared" si="3"/>
        <v>3</v>
      </c>
      <c r="I34" s="21" t="s">
        <v>102</v>
      </c>
      <c r="J34" s="38" t="s">
        <v>179</v>
      </c>
      <c r="K34" s="19"/>
    </row>
    <row r="35" spans="1:12" x14ac:dyDescent="0.3">
      <c r="B35" s="38" t="s">
        <v>372</v>
      </c>
      <c r="C35" s="38" t="s">
        <v>377</v>
      </c>
      <c r="D35" s="38">
        <v>2</v>
      </c>
      <c r="E35" s="38">
        <v>1</v>
      </c>
      <c r="F35" s="38">
        <f t="shared" si="3"/>
        <v>3</v>
      </c>
      <c r="I35" s="21" t="s">
        <v>365</v>
      </c>
      <c r="J35" s="38" t="s">
        <v>179</v>
      </c>
      <c r="K35" s="19"/>
    </row>
    <row r="36" spans="1:12" x14ac:dyDescent="0.3">
      <c r="B36" s="38" t="s">
        <v>373</v>
      </c>
      <c r="C36" s="38" t="s">
        <v>378</v>
      </c>
      <c r="D36" s="38">
        <v>3</v>
      </c>
      <c r="F36" s="38">
        <f t="shared" si="3"/>
        <v>3</v>
      </c>
      <c r="I36" s="21" t="s">
        <v>365</v>
      </c>
      <c r="J36" s="38" t="s">
        <v>179</v>
      </c>
      <c r="K36" s="19"/>
    </row>
    <row r="37" spans="1:12" x14ac:dyDescent="0.3">
      <c r="B37" s="38" t="s">
        <v>311</v>
      </c>
      <c r="C37" s="38" t="s">
        <v>320</v>
      </c>
      <c r="D37" s="38">
        <v>2</v>
      </c>
      <c r="E37" s="38">
        <v>1</v>
      </c>
      <c r="F37" s="38">
        <f t="shared" si="3"/>
        <v>3</v>
      </c>
      <c r="I37" s="21" t="s">
        <v>296</v>
      </c>
      <c r="J37" s="38" t="s">
        <v>179</v>
      </c>
      <c r="K37" s="19"/>
    </row>
    <row r="38" spans="1:12" s="17" customFormat="1" x14ac:dyDescent="0.3">
      <c r="A38" s="57" t="s">
        <v>73</v>
      </c>
      <c r="B38" s="57"/>
      <c r="C38" s="57"/>
      <c r="D38" s="36">
        <f>SUM(D32:D37)</f>
        <v>16</v>
      </c>
      <c r="E38" s="36">
        <f>SUM(E35:E37)</f>
        <v>2</v>
      </c>
      <c r="F38" s="36">
        <f>SUM(D38:E38)</f>
        <v>18</v>
      </c>
      <c r="G38" s="25"/>
      <c r="H38" s="28"/>
      <c r="I38" s="22"/>
      <c r="J38" s="36"/>
      <c r="K38" s="30"/>
      <c r="L38" s="28"/>
    </row>
    <row r="39" spans="1:12" x14ac:dyDescent="0.3">
      <c r="G39" s="24" t="s">
        <v>174</v>
      </c>
      <c r="H39" s="27" t="s">
        <v>159</v>
      </c>
      <c r="K39" s="19"/>
    </row>
    <row r="40" spans="1:12" x14ac:dyDescent="0.3">
      <c r="B40" s="38" t="s">
        <v>41</v>
      </c>
      <c r="C40" s="38" t="s">
        <v>330</v>
      </c>
      <c r="D40" s="38">
        <v>3</v>
      </c>
      <c r="F40" s="38">
        <f>SUM(D40:E40)</f>
        <v>3</v>
      </c>
      <c r="I40" s="21" t="s">
        <v>92</v>
      </c>
      <c r="J40" s="38" t="s">
        <v>179</v>
      </c>
      <c r="K40" s="19"/>
      <c r="L40" s="27" t="s">
        <v>596</v>
      </c>
    </row>
    <row r="41" spans="1:12" x14ac:dyDescent="0.3">
      <c r="B41" s="38" t="s">
        <v>321</v>
      </c>
      <c r="C41" s="38" t="s">
        <v>328</v>
      </c>
      <c r="D41" s="38">
        <v>1</v>
      </c>
      <c r="E41" s="38">
        <v>1</v>
      </c>
      <c r="F41" s="38">
        <f t="shared" ref="F41:F46" si="4">SUM(D41:E41)</f>
        <v>2</v>
      </c>
      <c r="I41" s="21" t="s">
        <v>296</v>
      </c>
      <c r="J41" s="38" t="s">
        <v>179</v>
      </c>
      <c r="K41" s="19"/>
    </row>
    <row r="42" spans="1:12" x14ac:dyDescent="0.3">
      <c r="B42" s="38" t="s">
        <v>60</v>
      </c>
      <c r="C42" s="38" t="s">
        <v>327</v>
      </c>
      <c r="D42" s="38">
        <v>2</v>
      </c>
      <c r="F42" s="38">
        <f t="shared" si="4"/>
        <v>2</v>
      </c>
      <c r="I42" s="21" t="s">
        <v>102</v>
      </c>
      <c r="J42" s="38" t="s">
        <v>179</v>
      </c>
      <c r="K42" s="19"/>
    </row>
    <row r="43" spans="1:12" x14ac:dyDescent="0.3">
      <c r="B43" s="38" t="s">
        <v>379</v>
      </c>
      <c r="C43" s="38" t="s">
        <v>381</v>
      </c>
      <c r="D43" s="38">
        <v>2</v>
      </c>
      <c r="E43" s="38">
        <v>1</v>
      </c>
      <c r="F43" s="38">
        <f t="shared" si="4"/>
        <v>3</v>
      </c>
      <c r="I43" s="21" t="s">
        <v>365</v>
      </c>
      <c r="J43" s="38" t="s">
        <v>179</v>
      </c>
      <c r="K43" s="19"/>
    </row>
    <row r="44" spans="1:12" x14ac:dyDescent="0.3">
      <c r="B44" s="38" t="s">
        <v>323</v>
      </c>
      <c r="C44" s="38" t="s">
        <v>382</v>
      </c>
      <c r="D44" s="38">
        <v>2</v>
      </c>
      <c r="E44" s="38">
        <v>1</v>
      </c>
      <c r="F44" s="38">
        <f t="shared" si="4"/>
        <v>3</v>
      </c>
      <c r="I44" s="21" t="s">
        <v>296</v>
      </c>
      <c r="J44" s="38" t="s">
        <v>179</v>
      </c>
      <c r="K44" s="19"/>
    </row>
    <row r="45" spans="1:12" x14ac:dyDescent="0.3">
      <c r="B45" s="38" t="s">
        <v>58</v>
      </c>
      <c r="C45" s="38" t="s">
        <v>324</v>
      </c>
      <c r="D45" s="38">
        <v>2</v>
      </c>
      <c r="F45" s="38">
        <f t="shared" si="4"/>
        <v>2</v>
      </c>
      <c r="I45" s="21" t="s">
        <v>92</v>
      </c>
      <c r="J45" s="38" t="s">
        <v>179</v>
      </c>
      <c r="K45" s="19"/>
    </row>
    <row r="46" spans="1:12" x14ac:dyDescent="0.3">
      <c r="B46" s="38" t="s">
        <v>31</v>
      </c>
      <c r="C46" s="38" t="s">
        <v>380</v>
      </c>
      <c r="D46" s="38">
        <v>3</v>
      </c>
      <c r="F46" s="38">
        <f t="shared" si="4"/>
        <v>3</v>
      </c>
      <c r="I46" s="21" t="s">
        <v>92</v>
      </c>
      <c r="J46" s="38" t="s">
        <v>179</v>
      </c>
      <c r="K46" s="19"/>
    </row>
    <row r="47" spans="1:12" s="17" customFormat="1" x14ac:dyDescent="0.3">
      <c r="A47" s="57" t="s">
        <v>73</v>
      </c>
      <c r="B47" s="57"/>
      <c r="C47" s="57"/>
      <c r="D47" s="36">
        <f>SUM(D40:D46)</f>
        <v>15</v>
      </c>
      <c r="E47" s="36">
        <f>SUM(E41:E44)</f>
        <v>3</v>
      </c>
      <c r="F47" s="36">
        <f>SUM(D47:E47)</f>
        <v>18</v>
      </c>
      <c r="G47" s="25"/>
      <c r="H47" s="28"/>
      <c r="I47" s="22"/>
      <c r="J47" s="36"/>
      <c r="K47" s="30"/>
      <c r="L47" s="28"/>
    </row>
    <row r="48" spans="1:12" x14ac:dyDescent="0.3">
      <c r="H48" s="27" t="s">
        <v>215</v>
      </c>
      <c r="K48" s="19"/>
    </row>
    <row r="49" spans="1:12" x14ac:dyDescent="0.3">
      <c r="B49" s="38" t="s">
        <v>332</v>
      </c>
      <c r="C49" s="38" t="s">
        <v>339</v>
      </c>
      <c r="D49" s="38">
        <v>3</v>
      </c>
      <c r="F49" s="38">
        <f>SUM(D49:E49)</f>
        <v>3</v>
      </c>
      <c r="I49" s="21" t="s">
        <v>92</v>
      </c>
      <c r="J49" s="38" t="s">
        <v>179</v>
      </c>
      <c r="K49" s="19"/>
      <c r="L49" s="27" t="s">
        <v>600</v>
      </c>
    </row>
    <row r="50" spans="1:12" x14ac:dyDescent="0.3">
      <c r="B50" s="38" t="s">
        <v>383</v>
      </c>
      <c r="C50" s="38" t="s">
        <v>386</v>
      </c>
      <c r="D50" s="38">
        <v>3</v>
      </c>
      <c r="F50" s="38">
        <f t="shared" ref="F50:F54" si="5">SUM(D50:E50)</f>
        <v>3</v>
      </c>
      <c r="I50" s="21" t="s">
        <v>92</v>
      </c>
      <c r="J50" s="38" t="s">
        <v>179</v>
      </c>
      <c r="K50" s="19"/>
      <c r="L50" s="27" t="s">
        <v>600</v>
      </c>
    </row>
    <row r="51" spans="1:12" x14ac:dyDescent="0.3">
      <c r="B51" s="38" t="s">
        <v>49</v>
      </c>
      <c r="C51" s="38" t="s">
        <v>338</v>
      </c>
      <c r="D51" s="38">
        <v>3</v>
      </c>
      <c r="F51" s="38">
        <f t="shared" si="5"/>
        <v>3</v>
      </c>
      <c r="I51" s="21" t="s">
        <v>92</v>
      </c>
      <c r="J51" s="38" t="s">
        <v>179</v>
      </c>
      <c r="K51" s="19"/>
      <c r="L51" s="27" t="s">
        <v>597</v>
      </c>
    </row>
    <row r="52" spans="1:12" x14ac:dyDescent="0.3">
      <c r="B52" s="38" t="s">
        <v>384</v>
      </c>
      <c r="C52" s="38" t="s">
        <v>387</v>
      </c>
      <c r="D52" s="38">
        <v>2</v>
      </c>
      <c r="E52" s="38">
        <v>1</v>
      </c>
      <c r="F52" s="38">
        <f t="shared" si="5"/>
        <v>3</v>
      </c>
      <c r="I52" s="21" t="s">
        <v>365</v>
      </c>
      <c r="J52" s="38" t="s">
        <v>179</v>
      </c>
      <c r="K52" s="19"/>
    </row>
    <row r="53" spans="1:12" x14ac:dyDescent="0.3">
      <c r="B53" s="38" t="s">
        <v>385</v>
      </c>
      <c r="C53" s="38" t="s">
        <v>388</v>
      </c>
      <c r="D53" s="38">
        <v>2</v>
      </c>
      <c r="E53" s="38">
        <v>1</v>
      </c>
      <c r="F53" s="38">
        <f t="shared" si="5"/>
        <v>3</v>
      </c>
      <c r="I53" s="21" t="s">
        <v>365</v>
      </c>
      <c r="J53" s="38" t="s">
        <v>179</v>
      </c>
      <c r="K53" s="19"/>
    </row>
    <row r="54" spans="1:12" x14ac:dyDescent="0.3">
      <c r="B54" s="38" t="s">
        <v>334</v>
      </c>
      <c r="C54" s="38" t="s">
        <v>389</v>
      </c>
      <c r="D54" s="38">
        <v>2</v>
      </c>
      <c r="E54" s="38">
        <v>1</v>
      </c>
      <c r="F54" s="38">
        <f t="shared" si="5"/>
        <v>3</v>
      </c>
      <c r="I54" s="21" t="s">
        <v>296</v>
      </c>
      <c r="J54" s="38" t="s">
        <v>179</v>
      </c>
      <c r="K54" s="19"/>
    </row>
    <row r="55" spans="1:12" s="17" customFormat="1" x14ac:dyDescent="0.3">
      <c r="A55" s="57" t="s">
        <v>73</v>
      </c>
      <c r="B55" s="57"/>
      <c r="C55" s="57"/>
      <c r="D55" s="36">
        <f>SUM(D49:D54)</f>
        <v>15</v>
      </c>
      <c r="E55" s="36">
        <f>SUM(E52:E54)</f>
        <v>3</v>
      </c>
      <c r="F55" s="36">
        <f>SUM(D55:E55)</f>
        <v>18</v>
      </c>
      <c r="G55" s="25"/>
      <c r="H55" s="28"/>
      <c r="I55" s="22"/>
      <c r="J55" s="36"/>
      <c r="K55" s="30"/>
      <c r="L55" s="28"/>
    </row>
    <row r="57" spans="1:12" x14ac:dyDescent="0.3">
      <c r="H57" s="27" t="s">
        <v>85</v>
      </c>
    </row>
    <row r="58" spans="1:12" x14ac:dyDescent="0.3">
      <c r="B58" s="38" t="s">
        <v>53</v>
      </c>
      <c r="C58" s="38" t="s">
        <v>126</v>
      </c>
      <c r="D58" s="38">
        <v>6</v>
      </c>
      <c r="F58" s="38">
        <f>SUM(D58)</f>
        <v>6</v>
      </c>
      <c r="I58" s="21" t="s">
        <v>92</v>
      </c>
      <c r="J58" s="38" t="s">
        <v>179</v>
      </c>
      <c r="L58" s="27" t="s">
        <v>599</v>
      </c>
    </row>
    <row r="59" spans="1:12" s="17" customFormat="1" x14ac:dyDescent="0.3">
      <c r="A59" s="55" t="s">
        <v>73</v>
      </c>
      <c r="B59" s="55"/>
      <c r="C59" s="55"/>
      <c r="D59" s="36">
        <f>SUM(D58)</f>
        <v>6</v>
      </c>
      <c r="E59" s="36"/>
      <c r="F59" s="36"/>
      <c r="G59" s="25"/>
      <c r="H59" s="28"/>
      <c r="I59" s="22"/>
      <c r="J59" s="36"/>
      <c r="L59" s="28"/>
    </row>
    <row r="60" spans="1:12" x14ac:dyDescent="0.3">
      <c r="G60" s="24" t="s">
        <v>158</v>
      </c>
      <c r="H60" s="27" t="s">
        <v>14</v>
      </c>
    </row>
    <row r="61" spans="1:12" x14ac:dyDescent="0.3">
      <c r="B61" s="38" t="s">
        <v>54</v>
      </c>
      <c r="C61" s="38" t="s">
        <v>80</v>
      </c>
      <c r="D61" s="38">
        <v>3</v>
      </c>
      <c r="F61" s="38">
        <f>SUM(D61:E61)</f>
        <v>3</v>
      </c>
      <c r="I61" s="21" t="s">
        <v>92</v>
      </c>
      <c r="J61" s="38" t="s">
        <v>179</v>
      </c>
      <c r="L61" s="27" t="s">
        <v>591</v>
      </c>
    </row>
    <row r="62" spans="1:12" x14ac:dyDescent="0.3">
      <c r="B62" s="38" t="s">
        <v>55</v>
      </c>
      <c r="C62" s="38" t="s">
        <v>350</v>
      </c>
      <c r="D62" s="38">
        <v>3</v>
      </c>
      <c r="F62" s="38">
        <f t="shared" ref="F62:F66" si="6">SUM(D62:E62)</f>
        <v>3</v>
      </c>
      <c r="I62" s="21" t="s">
        <v>92</v>
      </c>
      <c r="J62" s="38" t="s">
        <v>179</v>
      </c>
      <c r="L62" s="27" t="s">
        <v>591</v>
      </c>
    </row>
    <row r="63" spans="1:12" x14ac:dyDescent="0.3">
      <c r="B63" s="38" t="s">
        <v>390</v>
      </c>
      <c r="C63" s="38" t="s">
        <v>393</v>
      </c>
      <c r="D63" s="38">
        <v>2</v>
      </c>
      <c r="E63" s="38">
        <v>1</v>
      </c>
      <c r="F63" s="38">
        <f t="shared" si="6"/>
        <v>3</v>
      </c>
      <c r="I63" s="21" t="s">
        <v>365</v>
      </c>
      <c r="J63" s="38" t="s">
        <v>179</v>
      </c>
    </row>
    <row r="64" spans="1:12" x14ac:dyDescent="0.3">
      <c r="B64" s="38" t="s">
        <v>344</v>
      </c>
      <c r="C64" s="38" t="s">
        <v>353</v>
      </c>
      <c r="D64" s="38">
        <v>2</v>
      </c>
      <c r="E64" s="38">
        <v>1</v>
      </c>
      <c r="F64" s="38">
        <f t="shared" si="6"/>
        <v>3</v>
      </c>
      <c r="I64" s="21" t="s">
        <v>296</v>
      </c>
      <c r="J64" s="38" t="s">
        <v>179</v>
      </c>
    </row>
    <row r="65" spans="1:12" x14ac:dyDescent="0.3">
      <c r="B65" s="38" t="s">
        <v>345</v>
      </c>
      <c r="C65" s="38" t="s">
        <v>354</v>
      </c>
      <c r="D65" s="38">
        <v>2</v>
      </c>
      <c r="E65" s="38">
        <v>1</v>
      </c>
      <c r="F65" s="38">
        <f t="shared" si="6"/>
        <v>3</v>
      </c>
      <c r="I65" s="21" t="s">
        <v>296</v>
      </c>
      <c r="J65" s="38" t="s">
        <v>179</v>
      </c>
    </row>
    <row r="66" spans="1:12" x14ac:dyDescent="0.3">
      <c r="B66" s="38" t="s">
        <v>42</v>
      </c>
      <c r="C66" s="38" t="s">
        <v>117</v>
      </c>
      <c r="D66" s="38">
        <v>3</v>
      </c>
      <c r="F66" s="38">
        <f t="shared" si="6"/>
        <v>3</v>
      </c>
      <c r="I66" s="21" t="s">
        <v>92</v>
      </c>
      <c r="J66" s="38" t="s">
        <v>179</v>
      </c>
      <c r="L66" s="27" t="s">
        <v>598</v>
      </c>
    </row>
    <row r="67" spans="1:12" s="17" customFormat="1" x14ac:dyDescent="0.3">
      <c r="A67" s="55" t="s">
        <v>73</v>
      </c>
      <c r="B67" s="55"/>
      <c r="C67" s="55"/>
      <c r="D67" s="36">
        <f>SUM(D61:D66)</f>
        <v>15</v>
      </c>
      <c r="E67" s="36">
        <f>SUM(E63:E65)</f>
        <v>3</v>
      </c>
      <c r="F67" s="36">
        <f>SUM(D67:E67)</f>
        <v>18</v>
      </c>
      <c r="G67" s="25"/>
      <c r="H67" s="28"/>
      <c r="I67" s="22"/>
      <c r="J67" s="36"/>
      <c r="L67" s="28"/>
    </row>
    <row r="68" spans="1:12" x14ac:dyDescent="0.3">
      <c r="H68" s="27" t="s">
        <v>215</v>
      </c>
    </row>
    <row r="69" spans="1:12" x14ac:dyDescent="0.3">
      <c r="B69" s="38" t="s">
        <v>61</v>
      </c>
      <c r="C69" s="38" t="s">
        <v>72</v>
      </c>
      <c r="D69" s="38">
        <v>2</v>
      </c>
      <c r="F69" s="38">
        <f>SUM(D69:E69)</f>
        <v>2</v>
      </c>
      <c r="I69" s="21" t="s">
        <v>92</v>
      </c>
      <c r="J69" s="38" t="s">
        <v>179</v>
      </c>
      <c r="L69" s="27" t="s">
        <v>591</v>
      </c>
    </row>
    <row r="70" spans="1:12" x14ac:dyDescent="0.3">
      <c r="B70" s="38" t="s">
        <v>62</v>
      </c>
      <c r="C70" s="38" t="s">
        <v>355</v>
      </c>
      <c r="D70" s="38">
        <v>3</v>
      </c>
      <c r="F70" s="38">
        <f t="shared" ref="F70:F74" si="7">SUM(D70:E70)</f>
        <v>3</v>
      </c>
      <c r="I70" s="21" t="s">
        <v>92</v>
      </c>
      <c r="J70" s="38" t="s">
        <v>179</v>
      </c>
      <c r="L70" s="27" t="s">
        <v>591</v>
      </c>
    </row>
    <row r="71" spans="1:12" x14ac:dyDescent="0.3">
      <c r="B71" s="38" t="s">
        <v>391</v>
      </c>
      <c r="C71" s="38" t="s">
        <v>392</v>
      </c>
      <c r="D71" s="38">
        <v>3</v>
      </c>
      <c r="E71" s="38">
        <v>1</v>
      </c>
      <c r="F71" s="38">
        <f t="shared" si="7"/>
        <v>4</v>
      </c>
      <c r="I71" s="21" t="s">
        <v>365</v>
      </c>
      <c r="J71" s="38" t="s">
        <v>179</v>
      </c>
    </row>
    <row r="72" spans="1:12" x14ac:dyDescent="0.3">
      <c r="B72" s="38" t="s">
        <v>347</v>
      </c>
      <c r="C72" s="38" t="s">
        <v>357</v>
      </c>
      <c r="D72" s="38">
        <v>2</v>
      </c>
      <c r="E72" s="38">
        <v>1</v>
      </c>
      <c r="F72" s="38">
        <f t="shared" si="7"/>
        <v>3</v>
      </c>
      <c r="I72" s="21" t="s">
        <v>296</v>
      </c>
      <c r="J72" s="38" t="s">
        <v>179</v>
      </c>
    </row>
    <row r="73" spans="1:12" x14ac:dyDescent="0.3">
      <c r="B73" s="38" t="s">
        <v>348</v>
      </c>
      <c r="C73" s="38" t="s">
        <v>358</v>
      </c>
      <c r="D73" s="38">
        <v>2</v>
      </c>
      <c r="E73" s="38">
        <v>1</v>
      </c>
      <c r="F73" s="38">
        <f t="shared" si="7"/>
        <v>3</v>
      </c>
      <c r="I73" s="21" t="s">
        <v>296</v>
      </c>
      <c r="J73" s="38" t="s">
        <v>179</v>
      </c>
    </row>
    <row r="74" spans="1:12" x14ac:dyDescent="0.3">
      <c r="B74" s="38" t="s">
        <v>349</v>
      </c>
      <c r="C74" s="38" t="s">
        <v>359</v>
      </c>
      <c r="D74" s="38">
        <v>3</v>
      </c>
      <c r="F74" s="38">
        <f t="shared" si="7"/>
        <v>3</v>
      </c>
      <c r="I74" s="21" t="s">
        <v>296</v>
      </c>
      <c r="J74" s="38" t="s">
        <v>179</v>
      </c>
    </row>
    <row r="75" spans="1:12" s="17" customFormat="1" x14ac:dyDescent="0.3">
      <c r="A75" s="55" t="s">
        <v>73</v>
      </c>
      <c r="B75" s="55"/>
      <c r="C75" s="55"/>
      <c r="D75" s="36">
        <f>SUM(D69:D74)</f>
        <v>15</v>
      </c>
      <c r="E75" s="36">
        <f>SUM(E71:E73)</f>
        <v>3</v>
      </c>
      <c r="F75" s="36">
        <f>SUM(D75:E75)</f>
        <v>18</v>
      </c>
      <c r="G75" s="25"/>
      <c r="H75" s="28"/>
      <c r="I75" s="22"/>
      <c r="J75" s="36"/>
      <c r="L75" s="28"/>
    </row>
    <row r="77" spans="1:12" x14ac:dyDescent="0.3">
      <c r="A77" s="38" t="s">
        <v>603</v>
      </c>
    </row>
    <row r="78" spans="1:12" x14ac:dyDescent="0.3">
      <c r="A78" s="38" t="s">
        <v>608</v>
      </c>
      <c r="B78" s="38">
        <f>SUMIF(I2:I74,I42,F2:F75)</f>
        <v>11</v>
      </c>
    </row>
    <row r="79" spans="1:12" x14ac:dyDescent="0.3">
      <c r="A79" s="38" t="s">
        <v>365</v>
      </c>
      <c r="B79" s="38">
        <f>SUMIF(I2:I75,I71,F2:F75)</f>
        <v>41</v>
      </c>
    </row>
    <row r="80" spans="1:12" x14ac:dyDescent="0.3">
      <c r="A80" s="38" t="s">
        <v>296</v>
      </c>
      <c r="B80" s="38">
        <f>SUMIF(I2:I75,I74,F2:F75)</f>
        <v>41</v>
      </c>
    </row>
    <row r="81" spans="1:2" x14ac:dyDescent="0.3">
      <c r="A81" s="38" t="s">
        <v>92</v>
      </c>
      <c r="B81" s="38">
        <f>SUMIF(I2:I75,I69,F2:F75)</f>
        <v>55</v>
      </c>
    </row>
    <row r="82" spans="1:2" x14ac:dyDescent="0.3">
      <c r="A82" s="38" t="s">
        <v>610</v>
      </c>
      <c r="B82" s="38">
        <f>SUM(B78:B81)</f>
        <v>148</v>
      </c>
    </row>
    <row r="85" spans="1:2" x14ac:dyDescent="0.3">
      <c r="A85" s="38" t="s">
        <v>604</v>
      </c>
    </row>
    <row r="86" spans="1:2" x14ac:dyDescent="0.3">
      <c r="A86" s="38" t="s">
        <v>605</v>
      </c>
      <c r="B86" s="38" t="s">
        <v>606</v>
      </c>
    </row>
    <row r="87" spans="1:2" x14ac:dyDescent="0.3">
      <c r="A87" s="38" t="s">
        <v>607</v>
      </c>
      <c r="B87" s="38" t="s">
        <v>606</v>
      </c>
    </row>
  </sheetData>
  <mergeCells count="11">
    <mergeCell ref="D1:F1"/>
    <mergeCell ref="A55:C55"/>
    <mergeCell ref="A59:C59"/>
    <mergeCell ref="A67:C67"/>
    <mergeCell ref="A75:C75"/>
    <mergeCell ref="D2:F2"/>
    <mergeCell ref="A12:C12"/>
    <mergeCell ref="A30:C30"/>
    <mergeCell ref="A23:C23"/>
    <mergeCell ref="A47:C47"/>
    <mergeCell ref="A38:C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topLeftCell="A12" workbookViewId="0">
      <selection activeCell="C28" sqref="C28"/>
    </sheetView>
  </sheetViews>
  <sheetFormatPr defaultRowHeight="14.4" x14ac:dyDescent="0.3"/>
  <cols>
    <col min="2" max="2" width="12.109375" bestFit="1" customWidth="1"/>
    <col min="3" max="3" width="51.5546875" bestFit="1" customWidth="1"/>
    <col min="4" max="4" width="7.109375" bestFit="1" customWidth="1"/>
    <col min="5" max="5" width="16.6640625" customWidth="1"/>
    <col min="6" max="6" width="14.44140625" customWidth="1"/>
    <col min="7" max="7" width="10.33203125" style="1" bestFit="1" customWidth="1"/>
    <col min="8" max="8" width="14.88671875" style="2" bestFit="1" customWidth="1"/>
    <col min="9" max="9" width="30.44140625" style="3" bestFit="1" customWidth="1"/>
    <col min="10" max="10" width="39.109375" bestFit="1" customWidth="1"/>
    <col min="11" max="11" width="5.6640625" bestFit="1" customWidth="1"/>
    <col min="12" max="12" width="158.88671875" style="2" bestFit="1" customWidth="1"/>
  </cols>
  <sheetData>
    <row r="1" spans="1:12" x14ac:dyDescent="0.3">
      <c r="A1" s="11" t="s">
        <v>0</v>
      </c>
      <c r="B1" s="11" t="s">
        <v>1</v>
      </c>
      <c r="C1" s="11" t="s">
        <v>2</v>
      </c>
      <c r="D1" s="59" t="s">
        <v>3</v>
      </c>
      <c r="E1" s="59"/>
      <c r="F1" s="59"/>
      <c r="G1" s="12" t="s">
        <v>4</v>
      </c>
      <c r="H1" s="13" t="s">
        <v>5</v>
      </c>
      <c r="I1" s="14" t="s">
        <v>6</v>
      </c>
      <c r="J1" s="11" t="s">
        <v>7</v>
      </c>
      <c r="K1" s="11" t="s">
        <v>8</v>
      </c>
      <c r="L1" s="13" t="s">
        <v>9</v>
      </c>
    </row>
    <row r="2" spans="1:12" x14ac:dyDescent="0.3">
      <c r="A2" s="11" t="s">
        <v>394</v>
      </c>
      <c r="B2" s="11" t="s">
        <v>10</v>
      </c>
      <c r="C2" s="11" t="s">
        <v>11</v>
      </c>
      <c r="D2" s="59" t="s">
        <v>12</v>
      </c>
      <c r="E2" s="59"/>
      <c r="F2" s="59"/>
      <c r="G2" s="12" t="s">
        <v>13</v>
      </c>
      <c r="H2" s="13" t="s">
        <v>14</v>
      </c>
      <c r="I2" s="14"/>
      <c r="J2" s="11"/>
      <c r="K2" s="11"/>
      <c r="L2" s="13"/>
    </row>
    <row r="3" spans="1:12" x14ac:dyDescent="0.3">
      <c r="A3" s="11"/>
      <c r="B3" s="11"/>
      <c r="C3" s="11"/>
      <c r="D3" s="11" t="s">
        <v>282</v>
      </c>
      <c r="E3" s="11" t="s">
        <v>283</v>
      </c>
      <c r="F3" s="11" t="s">
        <v>284</v>
      </c>
      <c r="G3" s="12"/>
      <c r="H3" s="13"/>
      <c r="I3" s="14"/>
      <c r="J3" s="11"/>
      <c r="K3" s="11"/>
      <c r="L3" s="13"/>
    </row>
    <row r="4" spans="1:12" x14ac:dyDescent="0.3">
      <c r="A4" s="19"/>
      <c r="B4" s="19" t="s">
        <v>16</v>
      </c>
      <c r="C4" s="19" t="s">
        <v>87</v>
      </c>
      <c r="D4" s="19">
        <v>3</v>
      </c>
      <c r="E4" s="19"/>
      <c r="F4" s="19">
        <f>SUM(D4:E4)</f>
        <v>3</v>
      </c>
      <c r="G4" s="24"/>
      <c r="H4" s="27"/>
      <c r="I4" s="21" t="s">
        <v>92</v>
      </c>
      <c r="J4" s="19" t="s">
        <v>179</v>
      </c>
      <c r="K4" s="19"/>
      <c r="L4" s="27"/>
    </row>
    <row r="5" spans="1:12" x14ac:dyDescent="0.3">
      <c r="A5" s="19"/>
      <c r="B5" s="19" t="s">
        <v>29</v>
      </c>
      <c r="C5" s="19" t="s">
        <v>89</v>
      </c>
      <c r="D5" s="19">
        <v>2</v>
      </c>
      <c r="E5" s="19"/>
      <c r="F5" s="38">
        <f t="shared" ref="F5:F11" si="0">SUM(D5:E5)</f>
        <v>2</v>
      </c>
      <c r="G5" s="24"/>
      <c r="H5" s="27"/>
      <c r="I5" s="21" t="s">
        <v>92</v>
      </c>
      <c r="J5" s="19" t="s">
        <v>179</v>
      </c>
      <c r="K5" s="19"/>
      <c r="L5" s="27"/>
    </row>
    <row r="6" spans="1:12" x14ac:dyDescent="0.3">
      <c r="A6" s="19"/>
      <c r="B6" s="19" t="s">
        <v>17</v>
      </c>
      <c r="C6" s="19" t="s">
        <v>88</v>
      </c>
      <c r="D6" s="19">
        <v>3</v>
      </c>
      <c r="E6" s="19"/>
      <c r="F6" s="38">
        <f t="shared" si="0"/>
        <v>3</v>
      </c>
      <c r="G6" s="24"/>
      <c r="H6" s="27"/>
      <c r="I6" s="21" t="s">
        <v>102</v>
      </c>
      <c r="J6" s="19" t="s">
        <v>179</v>
      </c>
      <c r="K6" s="19"/>
      <c r="L6" s="27"/>
    </row>
    <row r="7" spans="1:12" x14ac:dyDescent="0.3">
      <c r="A7" s="19"/>
      <c r="B7" s="19" t="s">
        <v>395</v>
      </c>
      <c r="C7" s="19" t="s">
        <v>397</v>
      </c>
      <c r="D7" s="19">
        <v>1</v>
      </c>
      <c r="E7" s="19"/>
      <c r="F7" s="38">
        <f t="shared" si="0"/>
        <v>1</v>
      </c>
      <c r="G7" s="24"/>
      <c r="H7" s="27"/>
      <c r="I7" s="21" t="s">
        <v>399</v>
      </c>
      <c r="J7" s="19" t="s">
        <v>179</v>
      </c>
      <c r="K7" s="19"/>
      <c r="L7" s="27"/>
    </row>
    <row r="8" spans="1:12" x14ac:dyDescent="0.3">
      <c r="A8" s="19"/>
      <c r="B8" s="19" t="s">
        <v>396</v>
      </c>
      <c r="C8" s="19" t="s">
        <v>398</v>
      </c>
      <c r="D8" s="19">
        <v>2</v>
      </c>
      <c r="E8" s="19">
        <v>1</v>
      </c>
      <c r="F8" s="38">
        <f t="shared" si="0"/>
        <v>3</v>
      </c>
      <c r="G8" s="24"/>
      <c r="H8" s="27"/>
      <c r="I8" s="21" t="s">
        <v>399</v>
      </c>
      <c r="J8" s="19" t="s">
        <v>179</v>
      </c>
      <c r="K8" s="19"/>
      <c r="L8" s="27"/>
    </row>
    <row r="9" spans="1:12" x14ac:dyDescent="0.3">
      <c r="A9" s="19"/>
      <c r="B9" s="19" t="s">
        <v>287</v>
      </c>
      <c r="C9" s="19" t="s">
        <v>292</v>
      </c>
      <c r="D9" s="19">
        <v>1</v>
      </c>
      <c r="E9" s="19"/>
      <c r="F9" s="38">
        <f t="shared" si="0"/>
        <v>1</v>
      </c>
      <c r="G9" s="24"/>
      <c r="H9" s="27"/>
      <c r="I9" s="21" t="s">
        <v>296</v>
      </c>
      <c r="J9" s="19" t="s">
        <v>179</v>
      </c>
      <c r="K9" s="19"/>
      <c r="L9" s="27"/>
    </row>
    <row r="10" spans="1:12" x14ac:dyDescent="0.3">
      <c r="A10" s="19"/>
      <c r="B10" s="19" t="s">
        <v>288</v>
      </c>
      <c r="C10" s="19" t="s">
        <v>293</v>
      </c>
      <c r="D10" s="19">
        <v>2</v>
      </c>
      <c r="E10" s="19"/>
      <c r="F10" s="38">
        <f t="shared" si="0"/>
        <v>2</v>
      </c>
      <c r="G10" s="24"/>
      <c r="H10" s="27"/>
      <c r="I10" s="21" t="s">
        <v>296</v>
      </c>
      <c r="J10" s="19" t="s">
        <v>179</v>
      </c>
      <c r="K10" s="19"/>
      <c r="L10" s="27"/>
    </row>
    <row r="11" spans="1:12" x14ac:dyDescent="0.3">
      <c r="A11" s="19"/>
      <c r="B11" s="19" t="s">
        <v>362</v>
      </c>
      <c r="C11" s="19" t="s">
        <v>294</v>
      </c>
      <c r="D11" s="19">
        <v>1</v>
      </c>
      <c r="E11" s="19"/>
      <c r="F11" s="38">
        <f t="shared" si="0"/>
        <v>1</v>
      </c>
      <c r="G11" s="24"/>
      <c r="H11" s="27"/>
      <c r="I11" s="21" t="s">
        <v>296</v>
      </c>
      <c r="J11" s="19" t="s">
        <v>179</v>
      </c>
      <c r="K11" s="19"/>
      <c r="L11" s="27"/>
    </row>
    <row r="12" spans="1:12" s="17" customFormat="1" x14ac:dyDescent="0.3">
      <c r="A12" s="57" t="s">
        <v>73</v>
      </c>
      <c r="B12" s="57"/>
      <c r="C12" s="57"/>
      <c r="D12" s="30">
        <f>SUM(D4:D11)</f>
        <v>15</v>
      </c>
      <c r="E12" s="30">
        <v>1</v>
      </c>
      <c r="F12" s="30">
        <f>SUM(D12:E12)</f>
        <v>16</v>
      </c>
      <c r="G12" s="25"/>
      <c r="H12" s="28"/>
      <c r="I12" s="22"/>
      <c r="J12" s="30"/>
      <c r="K12" s="30"/>
      <c r="L12" s="28"/>
    </row>
    <row r="13" spans="1:12" x14ac:dyDescent="0.3">
      <c r="A13" s="19"/>
      <c r="B13" s="19"/>
      <c r="C13" s="19"/>
      <c r="D13" s="19"/>
      <c r="E13" s="19"/>
      <c r="F13" s="19"/>
      <c r="G13" s="24"/>
      <c r="H13" s="27" t="s">
        <v>81</v>
      </c>
      <c r="I13" s="21"/>
      <c r="J13" s="19"/>
      <c r="K13" s="19"/>
      <c r="L13" s="27"/>
    </row>
    <row r="14" spans="1:12" x14ac:dyDescent="0.3">
      <c r="A14" s="19"/>
      <c r="B14" s="19" t="s">
        <v>22</v>
      </c>
      <c r="C14" s="19" t="s">
        <v>95</v>
      </c>
      <c r="D14" s="19">
        <v>2</v>
      </c>
      <c r="E14" s="19"/>
      <c r="F14" s="19">
        <f>SUM(D14:E14)</f>
        <v>2</v>
      </c>
      <c r="G14" s="24"/>
      <c r="H14" s="27"/>
      <c r="I14" s="21" t="s">
        <v>92</v>
      </c>
      <c r="J14" s="19" t="s">
        <v>179</v>
      </c>
      <c r="K14" s="19"/>
      <c r="L14" s="27"/>
    </row>
    <row r="15" spans="1:12" x14ac:dyDescent="0.3">
      <c r="A15" s="19"/>
      <c r="B15" s="19" t="s">
        <v>23</v>
      </c>
      <c r="C15" s="19" t="s">
        <v>96</v>
      </c>
      <c r="D15" s="19">
        <v>2</v>
      </c>
      <c r="E15" s="19"/>
      <c r="F15" s="38">
        <f t="shared" ref="F15:F22" si="1">SUM(D15:E15)</f>
        <v>2</v>
      </c>
      <c r="G15" s="24"/>
      <c r="H15" s="27"/>
      <c r="I15" s="21" t="s">
        <v>92</v>
      </c>
      <c r="J15" s="19" t="s">
        <v>179</v>
      </c>
      <c r="K15" s="19"/>
      <c r="L15" s="27" t="s">
        <v>592</v>
      </c>
    </row>
    <row r="16" spans="1:12" x14ac:dyDescent="0.3">
      <c r="A16" s="19"/>
      <c r="B16" s="19" t="s">
        <v>24</v>
      </c>
      <c r="C16" s="19" t="s">
        <v>170</v>
      </c>
      <c r="D16" s="19">
        <v>1</v>
      </c>
      <c r="E16" s="19"/>
      <c r="F16" s="38">
        <f t="shared" si="1"/>
        <v>1</v>
      </c>
      <c r="G16" s="24"/>
      <c r="H16" s="27"/>
      <c r="I16" s="21" t="s">
        <v>102</v>
      </c>
      <c r="J16" s="19" t="s">
        <v>179</v>
      </c>
      <c r="K16" s="19"/>
      <c r="L16" s="27"/>
    </row>
    <row r="17" spans="1:12" x14ac:dyDescent="0.3">
      <c r="A17" s="19"/>
      <c r="B17" s="19" t="s">
        <v>25</v>
      </c>
      <c r="C17" s="19" t="s">
        <v>171</v>
      </c>
      <c r="D17" s="19">
        <v>2</v>
      </c>
      <c r="E17" s="19"/>
      <c r="F17" s="38">
        <f t="shared" si="1"/>
        <v>2</v>
      </c>
      <c r="G17" s="24"/>
      <c r="H17" s="27"/>
      <c r="I17" s="21" t="s">
        <v>102</v>
      </c>
      <c r="J17" s="19" t="s">
        <v>179</v>
      </c>
      <c r="K17" s="19"/>
      <c r="L17" s="27"/>
    </row>
    <row r="18" spans="1:12" x14ac:dyDescent="0.3">
      <c r="A18" s="19"/>
      <c r="B18" s="19" t="s">
        <v>400</v>
      </c>
      <c r="C18" s="19" t="s">
        <v>402</v>
      </c>
      <c r="D18" s="19">
        <v>2</v>
      </c>
      <c r="E18" s="19">
        <v>1</v>
      </c>
      <c r="F18" s="38">
        <f t="shared" si="1"/>
        <v>3</v>
      </c>
      <c r="G18" s="24"/>
      <c r="H18" s="27"/>
      <c r="I18" s="21" t="s">
        <v>399</v>
      </c>
      <c r="J18" s="19" t="s">
        <v>179</v>
      </c>
      <c r="K18" s="19"/>
      <c r="L18" s="27"/>
    </row>
    <row r="19" spans="1:12" x14ac:dyDescent="0.3">
      <c r="A19" s="19"/>
      <c r="B19" s="19" t="s">
        <v>401</v>
      </c>
      <c r="C19" s="19" t="s">
        <v>403</v>
      </c>
      <c r="D19" s="19">
        <v>3</v>
      </c>
      <c r="E19" s="19"/>
      <c r="F19" s="38">
        <f t="shared" si="1"/>
        <v>3</v>
      </c>
      <c r="G19" s="24"/>
      <c r="H19" s="27"/>
      <c r="I19" s="21" t="s">
        <v>399</v>
      </c>
      <c r="J19" s="19" t="s">
        <v>179</v>
      </c>
      <c r="K19" s="19"/>
      <c r="L19" s="27"/>
    </row>
    <row r="20" spans="1:12" x14ac:dyDescent="0.3">
      <c r="A20" s="19"/>
      <c r="B20" s="19" t="s">
        <v>298</v>
      </c>
      <c r="C20" s="19" t="s">
        <v>303</v>
      </c>
      <c r="D20" s="19">
        <v>2</v>
      </c>
      <c r="E20" s="19">
        <v>1</v>
      </c>
      <c r="F20" s="38">
        <f t="shared" si="1"/>
        <v>3</v>
      </c>
      <c r="G20" s="24"/>
      <c r="H20" s="27"/>
      <c r="I20" s="21" t="s">
        <v>296</v>
      </c>
      <c r="J20" s="19" t="s">
        <v>179</v>
      </c>
      <c r="K20" s="19"/>
      <c r="L20" s="27"/>
    </row>
    <row r="21" spans="1:12" x14ac:dyDescent="0.3">
      <c r="A21" s="19"/>
      <c r="B21" s="19" t="s">
        <v>299</v>
      </c>
      <c r="C21" s="19" t="s">
        <v>293</v>
      </c>
      <c r="D21" s="19">
        <v>1</v>
      </c>
      <c r="E21" s="19"/>
      <c r="F21" s="38">
        <f t="shared" si="1"/>
        <v>1</v>
      </c>
      <c r="G21" s="24"/>
      <c r="H21" s="27"/>
      <c r="I21" s="21" t="s">
        <v>296</v>
      </c>
      <c r="J21" s="19" t="s">
        <v>179</v>
      </c>
      <c r="K21" s="19"/>
      <c r="L21" s="27"/>
    </row>
    <row r="22" spans="1:12" x14ac:dyDescent="0.3">
      <c r="A22" s="19"/>
      <c r="B22" s="19" t="s">
        <v>300</v>
      </c>
      <c r="C22" s="19" t="s">
        <v>304</v>
      </c>
      <c r="D22" s="19">
        <v>1</v>
      </c>
      <c r="E22" s="19"/>
      <c r="F22" s="38">
        <f t="shared" si="1"/>
        <v>1</v>
      </c>
      <c r="G22" s="24"/>
      <c r="H22" s="27"/>
      <c r="I22" s="21" t="s">
        <v>296</v>
      </c>
      <c r="J22" s="19" t="s">
        <v>179</v>
      </c>
      <c r="K22" s="19"/>
      <c r="L22" s="27"/>
    </row>
    <row r="23" spans="1:12" s="17" customFormat="1" x14ac:dyDescent="0.3">
      <c r="A23" s="57" t="s">
        <v>73</v>
      </c>
      <c r="B23" s="57"/>
      <c r="C23" s="57"/>
      <c r="D23" s="30">
        <f>SUM(D14:D22)</f>
        <v>16</v>
      </c>
      <c r="E23" s="30">
        <v>2</v>
      </c>
      <c r="F23" s="30">
        <f>SUM(D23:E23)</f>
        <v>18</v>
      </c>
      <c r="G23" s="25"/>
      <c r="H23" s="28"/>
      <c r="I23" s="22"/>
      <c r="J23" s="30"/>
      <c r="K23" s="30"/>
      <c r="L23" s="28"/>
    </row>
    <row r="24" spans="1:12" x14ac:dyDescent="0.3">
      <c r="A24" s="19"/>
      <c r="B24" s="19"/>
      <c r="C24" s="19"/>
      <c r="D24" s="19"/>
      <c r="E24" s="19"/>
      <c r="F24" s="19"/>
      <c r="G24" s="24" t="s">
        <v>83</v>
      </c>
      <c r="H24" s="27" t="s">
        <v>159</v>
      </c>
      <c r="I24" s="21"/>
      <c r="J24" s="19"/>
      <c r="K24" s="19"/>
      <c r="L24" s="27"/>
    </row>
    <row r="25" spans="1:12" x14ac:dyDescent="0.3">
      <c r="A25" s="19"/>
      <c r="B25" s="19" t="s">
        <v>30</v>
      </c>
      <c r="C25" s="19" t="s">
        <v>103</v>
      </c>
      <c r="D25" s="19">
        <v>3</v>
      </c>
      <c r="E25" s="19"/>
      <c r="F25" s="19">
        <f>SUM(D25:E25)</f>
        <v>3</v>
      </c>
      <c r="G25" s="24"/>
      <c r="H25" s="27"/>
      <c r="I25" s="21" t="s">
        <v>92</v>
      </c>
      <c r="J25" s="19" t="s">
        <v>179</v>
      </c>
      <c r="K25" s="19"/>
      <c r="L25" s="27" t="s">
        <v>594</v>
      </c>
    </row>
    <row r="26" spans="1:12" x14ac:dyDescent="0.3">
      <c r="A26" s="19"/>
      <c r="B26" s="19" t="s">
        <v>31</v>
      </c>
      <c r="C26" s="19" t="s">
        <v>406</v>
      </c>
      <c r="D26" s="19">
        <v>3</v>
      </c>
      <c r="E26" s="19"/>
      <c r="F26" s="38">
        <f t="shared" ref="F26:F31" si="2">SUM(D26:E26)</f>
        <v>3</v>
      </c>
      <c r="G26" s="24"/>
      <c r="H26" s="27"/>
      <c r="I26" s="21" t="s">
        <v>92</v>
      </c>
      <c r="J26" s="19" t="s">
        <v>179</v>
      </c>
      <c r="K26" s="19"/>
      <c r="L26" s="27"/>
    </row>
    <row r="27" spans="1:12" x14ac:dyDescent="0.3">
      <c r="A27" s="19"/>
      <c r="B27" s="19" t="s">
        <v>58</v>
      </c>
      <c r="C27" s="19" t="s">
        <v>324</v>
      </c>
      <c r="D27" s="19">
        <v>2</v>
      </c>
      <c r="E27" s="19"/>
      <c r="F27" s="38">
        <f t="shared" si="2"/>
        <v>2</v>
      </c>
      <c r="G27" s="24"/>
      <c r="H27" s="27"/>
      <c r="I27" s="21" t="s">
        <v>92</v>
      </c>
      <c r="J27" s="19" t="s">
        <v>179</v>
      </c>
      <c r="K27" s="19"/>
      <c r="L27" s="27"/>
    </row>
    <row r="28" spans="1:12" x14ac:dyDescent="0.3">
      <c r="A28" s="19"/>
      <c r="B28" s="19" t="s">
        <v>404</v>
      </c>
      <c r="C28" s="19" t="s">
        <v>407</v>
      </c>
      <c r="D28" s="19">
        <v>1</v>
      </c>
      <c r="E28" s="19"/>
      <c r="F28" s="38">
        <f t="shared" si="2"/>
        <v>1</v>
      </c>
      <c r="G28" s="24"/>
      <c r="H28" s="27"/>
      <c r="I28" s="21" t="s">
        <v>399</v>
      </c>
      <c r="J28" s="19" t="s">
        <v>179</v>
      </c>
      <c r="K28" s="19"/>
      <c r="L28" s="27"/>
    </row>
    <row r="29" spans="1:12" x14ac:dyDescent="0.3">
      <c r="A29" s="19"/>
      <c r="B29" s="19" t="s">
        <v>405</v>
      </c>
      <c r="C29" s="19" t="s">
        <v>408</v>
      </c>
      <c r="D29" s="19">
        <v>3</v>
      </c>
      <c r="E29" s="19"/>
      <c r="F29" s="38">
        <f t="shared" si="2"/>
        <v>3</v>
      </c>
      <c r="G29" s="24"/>
      <c r="H29" s="27"/>
      <c r="I29" s="21" t="s">
        <v>399</v>
      </c>
      <c r="J29" s="19" t="s">
        <v>179</v>
      </c>
      <c r="K29" s="19"/>
      <c r="L29" s="27"/>
    </row>
    <row r="30" spans="1:12" x14ac:dyDescent="0.3">
      <c r="A30" s="19"/>
      <c r="B30" s="19" t="s">
        <v>307</v>
      </c>
      <c r="C30" s="19" t="s">
        <v>315</v>
      </c>
      <c r="D30" s="19">
        <v>2</v>
      </c>
      <c r="E30" s="19">
        <v>1</v>
      </c>
      <c r="F30" s="38">
        <f t="shared" si="2"/>
        <v>3</v>
      </c>
      <c r="G30" s="24"/>
      <c r="H30" s="27"/>
      <c r="I30" s="21" t="s">
        <v>296</v>
      </c>
      <c r="J30" s="19" t="s">
        <v>179</v>
      </c>
      <c r="K30" s="19"/>
      <c r="L30" s="27"/>
    </row>
    <row r="31" spans="1:12" x14ac:dyDescent="0.3">
      <c r="A31" s="19"/>
      <c r="B31" s="19" t="s">
        <v>308</v>
      </c>
      <c r="C31" s="19" t="s">
        <v>374</v>
      </c>
      <c r="D31" s="19">
        <v>2</v>
      </c>
      <c r="E31" s="19">
        <v>1</v>
      </c>
      <c r="F31" s="38">
        <f t="shared" si="2"/>
        <v>3</v>
      </c>
      <c r="G31" s="24"/>
      <c r="H31" s="27"/>
      <c r="I31" s="21" t="s">
        <v>296</v>
      </c>
      <c r="J31" s="19" t="s">
        <v>179</v>
      </c>
      <c r="K31" s="19"/>
      <c r="L31" s="27"/>
    </row>
    <row r="32" spans="1:12" s="17" customFormat="1" x14ac:dyDescent="0.3">
      <c r="A32" s="57" t="s">
        <v>73</v>
      </c>
      <c r="B32" s="57"/>
      <c r="C32" s="57"/>
      <c r="D32" s="30">
        <f>SUM(D25:D31)</f>
        <v>16</v>
      </c>
      <c r="E32" s="30">
        <v>2</v>
      </c>
      <c r="F32" s="30">
        <f>SUM(D32:E32)</f>
        <v>18</v>
      </c>
      <c r="G32" s="25"/>
      <c r="H32" s="28"/>
      <c r="I32" s="22"/>
      <c r="J32" s="30" t="s">
        <v>179</v>
      </c>
      <c r="K32" s="30"/>
      <c r="L32" s="28"/>
    </row>
    <row r="33" spans="1:12" x14ac:dyDescent="0.3">
      <c r="A33" s="19"/>
      <c r="B33" s="19"/>
      <c r="C33" s="19"/>
      <c r="D33" s="19"/>
      <c r="E33" s="19"/>
      <c r="F33" s="19"/>
      <c r="G33" s="24"/>
      <c r="H33" s="27" t="s">
        <v>215</v>
      </c>
      <c r="I33" s="21"/>
      <c r="J33" s="19"/>
      <c r="K33" s="19"/>
      <c r="L33" s="27"/>
    </row>
    <row r="34" spans="1:12" x14ac:dyDescent="0.3">
      <c r="A34" s="19"/>
      <c r="B34" s="19" t="s">
        <v>35</v>
      </c>
      <c r="C34" s="19" t="s">
        <v>110</v>
      </c>
      <c r="D34" s="19">
        <v>3</v>
      </c>
      <c r="E34" s="19"/>
      <c r="F34" s="19">
        <f>SUM(D34:E34)</f>
        <v>3</v>
      </c>
      <c r="G34" s="24"/>
      <c r="H34" s="27"/>
      <c r="I34" s="21" t="s">
        <v>92</v>
      </c>
      <c r="J34" s="19" t="s">
        <v>179</v>
      </c>
      <c r="K34" s="19"/>
      <c r="L34" s="27" t="s">
        <v>595</v>
      </c>
    </row>
    <row r="35" spans="1:12" x14ac:dyDescent="0.3">
      <c r="A35" s="19"/>
      <c r="B35" s="19" t="s">
        <v>36</v>
      </c>
      <c r="C35" s="19" t="s">
        <v>316</v>
      </c>
      <c r="D35" s="19">
        <v>3</v>
      </c>
      <c r="E35" s="19"/>
      <c r="F35" s="38">
        <f t="shared" ref="F35:F39" si="3">SUM(D35:E35)</f>
        <v>3</v>
      </c>
      <c r="G35" s="24"/>
      <c r="H35" s="27"/>
      <c r="I35" s="21" t="s">
        <v>92</v>
      </c>
      <c r="J35" s="19" t="s">
        <v>179</v>
      </c>
      <c r="K35" s="19"/>
      <c r="L35" s="27"/>
    </row>
    <row r="36" spans="1:12" x14ac:dyDescent="0.3">
      <c r="A36" s="19"/>
      <c r="B36" s="19" t="s">
        <v>37</v>
      </c>
      <c r="C36" s="19" t="s">
        <v>317</v>
      </c>
      <c r="D36" s="19">
        <v>3</v>
      </c>
      <c r="E36" s="19"/>
      <c r="F36" s="38">
        <f t="shared" si="3"/>
        <v>3</v>
      </c>
      <c r="G36" s="24"/>
      <c r="H36" s="27"/>
      <c r="I36" s="21" t="s">
        <v>102</v>
      </c>
      <c r="J36" s="19" t="s">
        <v>179</v>
      </c>
      <c r="K36" s="19"/>
      <c r="L36" s="27"/>
    </row>
    <row r="37" spans="1:12" x14ac:dyDescent="0.3">
      <c r="A37" s="19"/>
      <c r="B37" s="19" t="s">
        <v>409</v>
      </c>
      <c r="C37" s="19" t="s">
        <v>411</v>
      </c>
      <c r="D37" s="19">
        <v>3</v>
      </c>
      <c r="E37" s="19"/>
      <c r="F37" s="38">
        <f t="shared" si="3"/>
        <v>3</v>
      </c>
      <c r="G37" s="24"/>
      <c r="H37" s="27"/>
      <c r="I37" s="21" t="s">
        <v>399</v>
      </c>
      <c r="J37" s="19" t="s">
        <v>179</v>
      </c>
      <c r="K37" s="19"/>
      <c r="L37" s="27"/>
    </row>
    <row r="38" spans="1:12" x14ac:dyDescent="0.3">
      <c r="A38" s="19"/>
      <c r="B38" s="19" t="s">
        <v>410</v>
      </c>
      <c r="C38" s="19" t="s">
        <v>412</v>
      </c>
      <c r="D38" s="19">
        <v>3</v>
      </c>
      <c r="E38" s="19"/>
      <c r="F38" s="38">
        <f t="shared" si="3"/>
        <v>3</v>
      </c>
      <c r="G38" s="24"/>
      <c r="H38" s="27"/>
      <c r="I38" s="21" t="s">
        <v>399</v>
      </c>
      <c r="J38" s="19" t="s">
        <v>179</v>
      </c>
      <c r="K38" s="19"/>
      <c r="L38" s="27"/>
    </row>
    <row r="39" spans="1:12" x14ac:dyDescent="0.3">
      <c r="A39" s="19"/>
      <c r="B39" s="19" t="s">
        <v>311</v>
      </c>
      <c r="C39" s="19" t="s">
        <v>320</v>
      </c>
      <c r="D39" s="19">
        <v>2</v>
      </c>
      <c r="E39" s="19">
        <v>1</v>
      </c>
      <c r="F39" s="38">
        <f t="shared" si="3"/>
        <v>3</v>
      </c>
      <c r="G39" s="24"/>
      <c r="H39" s="27"/>
      <c r="I39" s="21" t="s">
        <v>296</v>
      </c>
      <c r="J39" s="19" t="s">
        <v>179</v>
      </c>
      <c r="K39" s="19"/>
      <c r="L39" s="27"/>
    </row>
    <row r="40" spans="1:12" s="17" customFormat="1" x14ac:dyDescent="0.3">
      <c r="A40" s="57" t="s">
        <v>73</v>
      </c>
      <c r="B40" s="57"/>
      <c r="C40" s="57"/>
      <c r="D40" s="30">
        <f>SUM(D34:D34:D39)</f>
        <v>17</v>
      </c>
      <c r="E40" s="30">
        <v>1</v>
      </c>
      <c r="F40" s="30">
        <f>SUM(D40:E40)</f>
        <v>18</v>
      </c>
      <c r="G40" s="25"/>
      <c r="H40" s="28"/>
      <c r="I40" s="22"/>
      <c r="J40" s="30"/>
      <c r="K40" s="30"/>
      <c r="L40" s="28"/>
    </row>
    <row r="41" spans="1:12" x14ac:dyDescent="0.3">
      <c r="A41" s="19"/>
      <c r="B41" s="19"/>
      <c r="C41" s="19"/>
      <c r="D41" s="19"/>
      <c r="E41" s="19"/>
      <c r="F41" s="19"/>
      <c r="G41" s="24" t="s">
        <v>174</v>
      </c>
      <c r="H41" s="27" t="s">
        <v>159</v>
      </c>
      <c r="I41" s="21"/>
      <c r="J41" s="19"/>
      <c r="K41" s="19"/>
      <c r="L41" s="27"/>
    </row>
    <row r="42" spans="1:12" x14ac:dyDescent="0.3">
      <c r="A42" s="19"/>
      <c r="B42" s="19" t="s">
        <v>41</v>
      </c>
      <c r="C42" s="19" t="s">
        <v>330</v>
      </c>
      <c r="D42" s="19">
        <v>3</v>
      </c>
      <c r="E42" s="19"/>
      <c r="F42" s="19">
        <f>SUM(D42:E42)</f>
        <v>3</v>
      </c>
      <c r="G42" s="24"/>
      <c r="H42" s="27"/>
      <c r="I42" s="21" t="s">
        <v>92</v>
      </c>
      <c r="J42" s="19" t="s">
        <v>179</v>
      </c>
      <c r="K42" s="19"/>
      <c r="L42" s="27" t="s">
        <v>596</v>
      </c>
    </row>
    <row r="43" spans="1:12" x14ac:dyDescent="0.3">
      <c r="A43" s="19"/>
      <c r="B43" s="19" t="s">
        <v>42</v>
      </c>
      <c r="C43" s="19" t="s">
        <v>418</v>
      </c>
      <c r="D43" s="19">
        <v>3</v>
      </c>
      <c r="E43" s="19"/>
      <c r="F43" s="38">
        <f t="shared" ref="F43:F48" si="4">SUM(D43:E43)</f>
        <v>3</v>
      </c>
      <c r="G43" s="24"/>
      <c r="H43" s="27"/>
      <c r="I43" s="21" t="s">
        <v>92</v>
      </c>
      <c r="J43" s="19" t="s">
        <v>179</v>
      </c>
      <c r="K43" s="19"/>
      <c r="L43" s="27" t="s">
        <v>598</v>
      </c>
    </row>
    <row r="44" spans="1:12" x14ac:dyDescent="0.3">
      <c r="A44" s="19"/>
      <c r="B44" s="19" t="s">
        <v>321</v>
      </c>
      <c r="C44" s="19" t="s">
        <v>328</v>
      </c>
      <c r="D44" s="19">
        <v>1</v>
      </c>
      <c r="E44" s="19">
        <v>1</v>
      </c>
      <c r="F44" s="38">
        <f t="shared" si="4"/>
        <v>2</v>
      </c>
      <c r="G44" s="24"/>
      <c r="H44" s="27"/>
      <c r="I44" s="21" t="s">
        <v>296</v>
      </c>
      <c r="J44" s="19" t="s">
        <v>179</v>
      </c>
      <c r="K44" s="19"/>
      <c r="L44" s="27"/>
    </row>
    <row r="45" spans="1:12" x14ac:dyDescent="0.3">
      <c r="A45" s="19"/>
      <c r="B45" s="19" t="s">
        <v>413</v>
      </c>
      <c r="C45" s="19" t="s">
        <v>419</v>
      </c>
      <c r="D45" s="19">
        <v>2</v>
      </c>
      <c r="E45" s="19"/>
      <c r="F45" s="38">
        <f t="shared" si="4"/>
        <v>2</v>
      </c>
      <c r="G45" s="24"/>
      <c r="H45" s="27"/>
      <c r="I45" s="21" t="s">
        <v>399</v>
      </c>
      <c r="J45" s="19" t="s">
        <v>179</v>
      </c>
      <c r="K45" s="19"/>
      <c r="L45" s="27"/>
    </row>
    <row r="46" spans="1:12" x14ac:dyDescent="0.3">
      <c r="A46" s="19"/>
      <c r="B46" s="19" t="s">
        <v>414</v>
      </c>
      <c r="C46" s="19" t="s">
        <v>420</v>
      </c>
      <c r="D46" s="19">
        <v>3</v>
      </c>
      <c r="E46" s="19"/>
      <c r="F46" s="38">
        <f t="shared" si="4"/>
        <v>3</v>
      </c>
      <c r="G46" s="24"/>
      <c r="H46" s="27"/>
      <c r="I46" s="21" t="s">
        <v>399</v>
      </c>
      <c r="J46" s="19" t="s">
        <v>179</v>
      </c>
      <c r="K46" s="19"/>
      <c r="L46" s="27"/>
    </row>
    <row r="47" spans="1:12" x14ac:dyDescent="0.3">
      <c r="A47" s="19"/>
      <c r="B47" s="19" t="s">
        <v>323</v>
      </c>
      <c r="C47" s="19" t="s">
        <v>382</v>
      </c>
      <c r="D47" s="19">
        <v>2</v>
      </c>
      <c r="E47" s="19">
        <v>1</v>
      </c>
      <c r="F47" s="38">
        <f t="shared" si="4"/>
        <v>3</v>
      </c>
      <c r="G47" s="24"/>
      <c r="H47" s="27"/>
      <c r="I47" s="21" t="s">
        <v>296</v>
      </c>
      <c r="J47" s="19" t="s">
        <v>179</v>
      </c>
      <c r="K47" s="19"/>
      <c r="L47" s="27"/>
    </row>
    <row r="48" spans="1:12" x14ac:dyDescent="0.3">
      <c r="A48" s="19"/>
      <c r="B48" s="19" t="s">
        <v>349</v>
      </c>
      <c r="C48" s="19" t="s">
        <v>359</v>
      </c>
      <c r="D48" s="19">
        <v>3</v>
      </c>
      <c r="E48" s="19"/>
      <c r="F48" s="38">
        <f t="shared" si="4"/>
        <v>3</v>
      </c>
      <c r="G48" s="24"/>
      <c r="H48" s="27"/>
      <c r="I48" s="21" t="s">
        <v>296</v>
      </c>
      <c r="J48" s="19" t="s">
        <v>179</v>
      </c>
      <c r="K48" s="19"/>
      <c r="L48" s="27"/>
    </row>
    <row r="49" spans="1:12" s="17" customFormat="1" x14ac:dyDescent="0.3">
      <c r="A49" s="57" t="s">
        <v>73</v>
      </c>
      <c r="B49" s="57"/>
      <c r="C49" s="57"/>
      <c r="D49" s="30">
        <f>SUM(D42:D48)</f>
        <v>17</v>
      </c>
      <c r="E49" s="30">
        <v>2</v>
      </c>
      <c r="F49" s="30">
        <f>SUM(D49:E49)</f>
        <v>19</v>
      </c>
      <c r="G49" s="25"/>
      <c r="H49" s="28"/>
      <c r="I49" s="22"/>
      <c r="J49" s="30"/>
      <c r="K49" s="30"/>
      <c r="L49" s="28"/>
    </row>
    <row r="50" spans="1:12" x14ac:dyDescent="0.3">
      <c r="A50" s="19"/>
      <c r="B50" s="19"/>
      <c r="C50" s="19"/>
      <c r="D50" s="19"/>
      <c r="E50" s="19"/>
      <c r="F50" s="19"/>
      <c r="G50" s="24"/>
      <c r="H50" s="27" t="s">
        <v>81</v>
      </c>
      <c r="I50" s="21"/>
      <c r="J50" s="19"/>
      <c r="K50" s="19"/>
      <c r="L50" s="27"/>
    </row>
    <row r="51" spans="1:12" x14ac:dyDescent="0.3">
      <c r="A51" s="19"/>
      <c r="B51" s="19" t="s">
        <v>332</v>
      </c>
      <c r="C51" s="19" t="s">
        <v>339</v>
      </c>
      <c r="D51" s="19">
        <v>3</v>
      </c>
      <c r="E51" s="19"/>
      <c r="F51" s="19">
        <f>SUM(D51:E51)</f>
        <v>3</v>
      </c>
      <c r="G51" s="24"/>
      <c r="H51" s="27"/>
      <c r="I51" s="21" t="s">
        <v>92</v>
      </c>
      <c r="J51" s="19" t="s">
        <v>179</v>
      </c>
      <c r="K51" s="19"/>
      <c r="L51" s="27"/>
    </row>
    <row r="52" spans="1:12" x14ac:dyDescent="0.3">
      <c r="A52" s="19"/>
      <c r="B52" s="19" t="s">
        <v>415</v>
      </c>
      <c r="C52" s="19" t="s">
        <v>421</v>
      </c>
      <c r="D52" s="19">
        <v>3</v>
      </c>
      <c r="E52" s="19"/>
      <c r="F52" s="38">
        <f t="shared" ref="F52:F56" si="5">SUM(D52:E52)</f>
        <v>3</v>
      </c>
      <c r="G52" s="24"/>
      <c r="H52" s="27"/>
      <c r="I52" s="21" t="s">
        <v>92</v>
      </c>
      <c r="J52" s="19" t="s">
        <v>179</v>
      </c>
      <c r="K52" s="19"/>
      <c r="L52" s="27" t="s">
        <v>600</v>
      </c>
    </row>
    <row r="53" spans="1:12" x14ac:dyDescent="0.3">
      <c r="A53" s="19"/>
      <c r="B53" s="19" t="s">
        <v>49</v>
      </c>
      <c r="C53" s="19" t="s">
        <v>338</v>
      </c>
      <c r="D53" s="19">
        <v>3</v>
      </c>
      <c r="E53" s="19"/>
      <c r="F53" s="38">
        <f t="shared" si="5"/>
        <v>3</v>
      </c>
      <c r="G53" s="24"/>
      <c r="H53" s="27"/>
      <c r="I53" s="21" t="s">
        <v>92</v>
      </c>
      <c r="J53" s="19" t="s">
        <v>179</v>
      </c>
      <c r="K53" s="19"/>
      <c r="L53" s="27" t="s">
        <v>597</v>
      </c>
    </row>
    <row r="54" spans="1:12" x14ac:dyDescent="0.3">
      <c r="A54" s="19"/>
      <c r="B54" s="19" t="s">
        <v>416</v>
      </c>
      <c r="C54" s="19" t="s">
        <v>422</v>
      </c>
      <c r="D54" s="19">
        <v>3</v>
      </c>
      <c r="E54" s="19"/>
      <c r="F54" s="38">
        <f t="shared" si="5"/>
        <v>3</v>
      </c>
      <c r="G54" s="24"/>
      <c r="H54" s="27"/>
      <c r="I54" s="21" t="s">
        <v>399</v>
      </c>
      <c r="J54" s="19" t="s">
        <v>179</v>
      </c>
      <c r="K54" s="19"/>
      <c r="L54" s="27"/>
    </row>
    <row r="55" spans="1:12" x14ac:dyDescent="0.3">
      <c r="A55" s="19"/>
      <c r="B55" s="19" t="s">
        <v>417</v>
      </c>
      <c r="C55" s="19" t="s">
        <v>423</v>
      </c>
      <c r="D55" s="19">
        <v>2</v>
      </c>
      <c r="E55" s="19">
        <v>1</v>
      </c>
      <c r="F55" s="38">
        <f t="shared" si="5"/>
        <v>3</v>
      </c>
      <c r="G55" s="24"/>
      <c r="H55" s="27"/>
      <c r="I55" s="21" t="s">
        <v>399</v>
      </c>
      <c r="J55" s="19" t="s">
        <v>179</v>
      </c>
      <c r="K55" s="19"/>
      <c r="L55" s="27"/>
    </row>
    <row r="56" spans="1:12" x14ac:dyDescent="0.3">
      <c r="A56" s="19"/>
      <c r="B56" s="19" t="s">
        <v>334</v>
      </c>
      <c r="C56" s="19" t="s">
        <v>389</v>
      </c>
      <c r="D56" s="19">
        <v>2</v>
      </c>
      <c r="E56" s="19">
        <v>1</v>
      </c>
      <c r="F56" s="38">
        <f t="shared" si="5"/>
        <v>3</v>
      </c>
      <c r="G56" s="24"/>
      <c r="H56" s="27"/>
      <c r="I56" s="21" t="s">
        <v>296</v>
      </c>
      <c r="J56" s="19" t="s">
        <v>179</v>
      </c>
      <c r="K56" s="19"/>
      <c r="L56" s="27"/>
    </row>
    <row r="57" spans="1:12" s="17" customFormat="1" x14ac:dyDescent="0.3">
      <c r="A57" s="57" t="s">
        <v>73</v>
      </c>
      <c r="B57" s="57"/>
      <c r="C57" s="57"/>
      <c r="D57" s="30">
        <f>SUM(D51:D56)</f>
        <v>16</v>
      </c>
      <c r="E57" s="30">
        <f>SUM(E55:E56)</f>
        <v>2</v>
      </c>
      <c r="F57" s="30">
        <f>SUM(D57:E57)</f>
        <v>18</v>
      </c>
      <c r="G57" s="25"/>
      <c r="H57" s="28"/>
      <c r="I57" s="22"/>
      <c r="J57" s="30"/>
      <c r="K57" s="30"/>
      <c r="L57" s="28"/>
    </row>
    <row r="58" spans="1:12" x14ac:dyDescent="0.3">
      <c r="A58" s="19"/>
      <c r="B58" s="19"/>
      <c r="C58" s="19"/>
      <c r="D58" s="19"/>
      <c r="E58" s="19"/>
      <c r="F58" s="19"/>
      <c r="G58" s="24"/>
      <c r="H58" s="27" t="s">
        <v>85</v>
      </c>
      <c r="I58" s="21"/>
      <c r="J58" s="19"/>
      <c r="K58" s="19"/>
      <c r="L58" s="27"/>
    </row>
    <row r="59" spans="1:12" x14ac:dyDescent="0.3">
      <c r="A59" s="19"/>
      <c r="B59" s="19" t="s">
        <v>53</v>
      </c>
      <c r="C59" s="19" t="s">
        <v>126</v>
      </c>
      <c r="D59" s="19">
        <v>6</v>
      </c>
      <c r="E59" s="19"/>
      <c r="F59" s="19">
        <f>SUM(D59)</f>
        <v>6</v>
      </c>
      <c r="G59" s="24"/>
      <c r="H59" s="27"/>
      <c r="I59" s="21" t="s">
        <v>92</v>
      </c>
      <c r="J59" s="19" t="s">
        <v>179</v>
      </c>
      <c r="K59" s="19"/>
      <c r="L59" s="27" t="s">
        <v>599</v>
      </c>
    </row>
    <row r="60" spans="1:12" s="17" customFormat="1" x14ac:dyDescent="0.3">
      <c r="A60" s="57" t="s">
        <v>73</v>
      </c>
      <c r="B60" s="57"/>
      <c r="C60" s="57"/>
      <c r="D60" s="30">
        <f>SUM(D59)</f>
        <v>6</v>
      </c>
      <c r="E60" s="30"/>
      <c r="F60" s="30"/>
      <c r="G60" s="25"/>
      <c r="H60" s="28"/>
      <c r="I60" s="22"/>
      <c r="J60" s="30"/>
      <c r="K60" s="30"/>
      <c r="L60" s="28"/>
    </row>
    <row r="61" spans="1:12" x14ac:dyDescent="0.3">
      <c r="A61" s="19"/>
      <c r="B61" s="19"/>
      <c r="C61" s="19"/>
      <c r="D61" s="19"/>
      <c r="E61" s="19"/>
      <c r="F61" s="19"/>
      <c r="G61" s="24" t="s">
        <v>86</v>
      </c>
      <c r="H61" s="27" t="s">
        <v>14</v>
      </c>
      <c r="I61" s="21"/>
      <c r="J61" s="19"/>
      <c r="K61" s="19"/>
      <c r="L61" s="27"/>
    </row>
    <row r="62" spans="1:12" x14ac:dyDescent="0.3">
      <c r="A62" s="19"/>
      <c r="B62" s="19" t="s">
        <v>54</v>
      </c>
      <c r="C62" s="19" t="s">
        <v>80</v>
      </c>
      <c r="D62" s="19">
        <v>3</v>
      </c>
      <c r="E62" s="19"/>
      <c r="F62" s="19">
        <f>SUM(D62:E62)</f>
        <v>3</v>
      </c>
      <c r="G62" s="24"/>
      <c r="H62" s="27"/>
      <c r="I62" s="21" t="s">
        <v>92</v>
      </c>
      <c r="J62" s="19" t="s">
        <v>179</v>
      </c>
      <c r="K62" s="19"/>
      <c r="L62" s="27" t="s">
        <v>591</v>
      </c>
    </row>
    <row r="63" spans="1:12" x14ac:dyDescent="0.3">
      <c r="A63" s="19"/>
      <c r="B63" s="19" t="s">
        <v>55</v>
      </c>
      <c r="C63" s="19" t="s">
        <v>350</v>
      </c>
      <c r="D63" s="19">
        <v>3</v>
      </c>
      <c r="E63" s="19"/>
      <c r="F63" s="38">
        <f t="shared" ref="F63:F67" si="6">SUM(D63:E63)</f>
        <v>3</v>
      </c>
      <c r="G63" s="24"/>
      <c r="H63" s="27"/>
      <c r="I63" s="21" t="s">
        <v>92</v>
      </c>
      <c r="J63" s="19" t="s">
        <v>179</v>
      </c>
      <c r="K63" s="19"/>
      <c r="L63" s="27" t="s">
        <v>591</v>
      </c>
    </row>
    <row r="64" spans="1:12" x14ac:dyDescent="0.3">
      <c r="A64" s="19"/>
      <c r="B64" s="19" t="s">
        <v>424</v>
      </c>
      <c r="C64" s="19" t="s">
        <v>430</v>
      </c>
      <c r="D64" s="19">
        <v>3</v>
      </c>
      <c r="E64" s="19"/>
      <c r="F64" s="38">
        <f t="shared" si="6"/>
        <v>3</v>
      </c>
      <c r="G64" s="24"/>
      <c r="H64" s="27"/>
      <c r="I64" s="21" t="s">
        <v>399</v>
      </c>
      <c r="J64" s="19" t="s">
        <v>179</v>
      </c>
      <c r="K64" s="19"/>
      <c r="L64" s="27"/>
    </row>
    <row r="65" spans="1:12" x14ac:dyDescent="0.3">
      <c r="A65" s="19"/>
      <c r="B65" s="19" t="s">
        <v>425</v>
      </c>
      <c r="C65" s="19" t="s">
        <v>431</v>
      </c>
      <c r="D65" s="19">
        <v>2</v>
      </c>
      <c r="E65" s="19"/>
      <c r="F65" s="38">
        <f t="shared" si="6"/>
        <v>2</v>
      </c>
      <c r="G65" s="24"/>
      <c r="H65" s="27"/>
      <c r="I65" s="21" t="s">
        <v>399</v>
      </c>
      <c r="J65" s="19" t="s">
        <v>179</v>
      </c>
      <c r="K65" s="19"/>
      <c r="L65" s="27"/>
    </row>
    <row r="66" spans="1:12" x14ac:dyDescent="0.3">
      <c r="A66" s="19"/>
      <c r="B66" s="19" t="s">
        <v>344</v>
      </c>
      <c r="C66" s="19" t="s">
        <v>353</v>
      </c>
      <c r="D66" s="19">
        <v>2</v>
      </c>
      <c r="E66" s="19">
        <v>1</v>
      </c>
      <c r="F66" s="38">
        <f t="shared" si="6"/>
        <v>3</v>
      </c>
      <c r="G66" s="24"/>
      <c r="H66" s="27"/>
      <c r="I66" s="21" t="s">
        <v>296</v>
      </c>
      <c r="J66" s="19" t="s">
        <v>179</v>
      </c>
      <c r="K66" s="19"/>
      <c r="L66" s="27"/>
    </row>
    <row r="67" spans="1:12" x14ac:dyDescent="0.3">
      <c r="A67" s="19"/>
      <c r="B67" s="19" t="s">
        <v>345</v>
      </c>
      <c r="C67" s="19" t="s">
        <v>354</v>
      </c>
      <c r="D67" s="19">
        <v>2</v>
      </c>
      <c r="E67" s="19">
        <v>1</v>
      </c>
      <c r="F67" s="38">
        <f t="shared" si="6"/>
        <v>3</v>
      </c>
      <c r="G67" s="24"/>
      <c r="H67" s="27"/>
      <c r="I67" s="21" t="s">
        <v>296</v>
      </c>
      <c r="J67" s="19" t="s">
        <v>179</v>
      </c>
      <c r="K67" s="19"/>
      <c r="L67" s="27"/>
    </row>
    <row r="68" spans="1:12" s="17" customFormat="1" x14ac:dyDescent="0.3">
      <c r="A68" s="57" t="s">
        <v>73</v>
      </c>
      <c r="B68" s="57"/>
      <c r="C68" s="57"/>
      <c r="D68" s="30">
        <f>SUM(D62:D67)</f>
        <v>15</v>
      </c>
      <c r="E68" s="30">
        <v>2</v>
      </c>
      <c r="F68" s="30">
        <f>SUM(D68:E68)</f>
        <v>17</v>
      </c>
      <c r="G68" s="25"/>
      <c r="H68" s="28"/>
      <c r="I68" s="22"/>
      <c r="J68" s="30"/>
      <c r="K68" s="30"/>
      <c r="L68" s="28"/>
    </row>
    <row r="69" spans="1:12" x14ac:dyDescent="0.3">
      <c r="A69" s="19"/>
      <c r="B69" s="19"/>
      <c r="C69" s="19"/>
      <c r="D69" s="19"/>
      <c r="E69" s="19"/>
      <c r="F69" s="19"/>
      <c r="G69" s="24"/>
      <c r="H69" s="27" t="s">
        <v>81</v>
      </c>
      <c r="I69" s="21"/>
      <c r="J69" s="19"/>
      <c r="K69" s="19"/>
      <c r="L69" s="27"/>
    </row>
    <row r="70" spans="1:12" x14ac:dyDescent="0.3">
      <c r="A70" s="19"/>
      <c r="B70" s="19" t="s">
        <v>61</v>
      </c>
      <c r="C70" s="19" t="s">
        <v>72</v>
      </c>
      <c r="D70" s="19">
        <v>2</v>
      </c>
      <c r="E70" s="19"/>
      <c r="F70" s="19">
        <f>SUM(D70:E70)</f>
        <v>2</v>
      </c>
      <c r="G70" s="24"/>
      <c r="H70" s="27"/>
      <c r="I70" s="21" t="s">
        <v>92</v>
      </c>
      <c r="J70" s="19" t="s">
        <v>179</v>
      </c>
      <c r="K70" s="19"/>
      <c r="L70" s="27" t="s">
        <v>591</v>
      </c>
    </row>
    <row r="71" spans="1:12" x14ac:dyDescent="0.3">
      <c r="A71" s="19"/>
      <c r="B71" s="19" t="s">
        <v>62</v>
      </c>
      <c r="C71" s="19" t="s">
        <v>355</v>
      </c>
      <c r="D71" s="19">
        <v>3</v>
      </c>
      <c r="E71" s="19"/>
      <c r="F71" s="38">
        <f t="shared" ref="F71:F76" si="7">SUM(D71:E71)</f>
        <v>3</v>
      </c>
      <c r="G71" s="24"/>
      <c r="H71" s="27"/>
      <c r="I71" s="21" t="s">
        <v>92</v>
      </c>
      <c r="J71" s="19" t="s">
        <v>179</v>
      </c>
      <c r="K71" s="19"/>
      <c r="L71" s="27" t="s">
        <v>591</v>
      </c>
    </row>
    <row r="72" spans="1:12" x14ac:dyDescent="0.3">
      <c r="A72" s="19"/>
      <c r="B72" s="19" t="s">
        <v>426</v>
      </c>
      <c r="C72" s="19" t="s">
        <v>429</v>
      </c>
      <c r="D72" s="19">
        <v>2</v>
      </c>
      <c r="E72" s="19">
        <v>1</v>
      </c>
      <c r="F72" s="38">
        <f t="shared" si="7"/>
        <v>3</v>
      </c>
      <c r="G72" s="24"/>
      <c r="H72" s="27"/>
      <c r="I72" s="21" t="s">
        <v>399</v>
      </c>
      <c r="J72" s="19" t="s">
        <v>179</v>
      </c>
      <c r="K72" s="19"/>
      <c r="L72" s="27"/>
    </row>
    <row r="73" spans="1:12" x14ac:dyDescent="0.3">
      <c r="A73" s="19"/>
      <c r="B73" s="19" t="s">
        <v>427</v>
      </c>
      <c r="C73" s="19" t="s">
        <v>428</v>
      </c>
      <c r="D73" s="19">
        <v>3</v>
      </c>
      <c r="E73" s="19"/>
      <c r="F73" s="38">
        <f t="shared" si="7"/>
        <v>3</v>
      </c>
      <c r="G73" s="24"/>
      <c r="H73" s="27"/>
      <c r="I73" s="21" t="s">
        <v>399</v>
      </c>
      <c r="J73" s="19" t="s">
        <v>179</v>
      </c>
      <c r="K73" s="19"/>
      <c r="L73" s="27"/>
    </row>
    <row r="74" spans="1:12" x14ac:dyDescent="0.3">
      <c r="A74" s="19"/>
      <c r="B74" s="19" t="s">
        <v>347</v>
      </c>
      <c r="C74" s="19" t="s">
        <v>357</v>
      </c>
      <c r="D74" s="19">
        <v>2</v>
      </c>
      <c r="E74" s="19">
        <v>1</v>
      </c>
      <c r="F74" s="38">
        <f t="shared" si="7"/>
        <v>3</v>
      </c>
      <c r="G74" s="24"/>
      <c r="H74" s="27"/>
      <c r="I74" s="21" t="s">
        <v>296</v>
      </c>
      <c r="J74" s="19" t="s">
        <v>179</v>
      </c>
      <c r="K74" s="19"/>
      <c r="L74" s="27"/>
    </row>
    <row r="75" spans="1:12" x14ac:dyDescent="0.3">
      <c r="A75" s="19"/>
      <c r="B75" s="19" t="s">
        <v>348</v>
      </c>
      <c r="C75" s="19" t="s">
        <v>358</v>
      </c>
      <c r="D75" s="19">
        <v>2</v>
      </c>
      <c r="E75" s="19">
        <v>1</v>
      </c>
      <c r="F75" s="38">
        <f t="shared" si="7"/>
        <v>3</v>
      </c>
      <c r="G75" s="24"/>
      <c r="H75" s="27"/>
      <c r="I75" s="21" t="s">
        <v>296</v>
      </c>
      <c r="J75" s="19" t="s">
        <v>179</v>
      </c>
      <c r="K75" s="19"/>
      <c r="L75" s="27"/>
    </row>
    <row r="76" spans="1:12" x14ac:dyDescent="0.3">
      <c r="A76" s="19"/>
      <c r="B76" s="19" t="s">
        <v>60</v>
      </c>
      <c r="C76" s="19" t="s">
        <v>177</v>
      </c>
      <c r="D76" s="19">
        <v>2</v>
      </c>
      <c r="E76" s="19"/>
      <c r="F76" s="38">
        <f t="shared" si="7"/>
        <v>2</v>
      </c>
      <c r="G76" s="24"/>
      <c r="H76" s="27"/>
      <c r="I76" s="21" t="s">
        <v>102</v>
      </c>
      <c r="J76" s="19" t="s">
        <v>179</v>
      </c>
      <c r="K76" s="19"/>
      <c r="L76" s="27"/>
    </row>
    <row r="77" spans="1:12" s="17" customFormat="1" x14ac:dyDescent="0.3">
      <c r="A77" s="57" t="s">
        <v>73</v>
      </c>
      <c r="B77" s="57"/>
      <c r="C77" s="57"/>
      <c r="D77" s="30">
        <f>SUM(D70:D76)</f>
        <v>16</v>
      </c>
      <c r="E77" s="30">
        <v>3</v>
      </c>
      <c r="F77" s="30">
        <f>SUM(D77:E77)</f>
        <v>19</v>
      </c>
      <c r="G77" s="25"/>
      <c r="H77" s="28"/>
      <c r="I77" s="22"/>
      <c r="J77" s="30"/>
      <c r="K77" s="30"/>
      <c r="L77" s="28"/>
    </row>
    <row r="79" spans="1:12" x14ac:dyDescent="0.3">
      <c r="A79" s="38" t="s">
        <v>603</v>
      </c>
      <c r="B79" s="38"/>
    </row>
    <row r="80" spans="1:12" x14ac:dyDescent="0.3">
      <c r="A80" s="38" t="s">
        <v>608</v>
      </c>
      <c r="B80" s="38">
        <f>SUMIF(I2:I76,I76,F2:F77)</f>
        <v>11</v>
      </c>
    </row>
    <row r="81" spans="1:2" x14ac:dyDescent="0.3">
      <c r="A81" s="38" t="s">
        <v>619</v>
      </c>
      <c r="B81" s="38">
        <f>SUMIF(I2:I77,I72,F2:F77)</f>
        <v>42</v>
      </c>
    </row>
    <row r="82" spans="1:2" x14ac:dyDescent="0.3">
      <c r="A82" s="38" t="s">
        <v>296</v>
      </c>
      <c r="B82" s="38">
        <f>SUMIF(I2:I77,I74,F2:F77)</f>
        <v>41</v>
      </c>
    </row>
    <row r="83" spans="1:2" x14ac:dyDescent="0.3">
      <c r="A83" s="38" t="s">
        <v>92</v>
      </c>
      <c r="B83" s="38">
        <f>SUMIF(I2:I77,I70,F2:F77)</f>
        <v>55</v>
      </c>
    </row>
    <row r="84" spans="1:2" x14ac:dyDescent="0.3">
      <c r="A84" s="38" t="s">
        <v>610</v>
      </c>
      <c r="B84" s="38">
        <f>SUM(B80:B83)</f>
        <v>149</v>
      </c>
    </row>
    <row r="85" spans="1:2" x14ac:dyDescent="0.3">
      <c r="A85" s="38"/>
      <c r="B85" s="38"/>
    </row>
    <row r="86" spans="1:2" x14ac:dyDescent="0.3">
      <c r="A86" s="38"/>
      <c r="B86" s="38"/>
    </row>
    <row r="87" spans="1:2" x14ac:dyDescent="0.3">
      <c r="A87" s="38" t="s">
        <v>604</v>
      </c>
      <c r="B87" s="38"/>
    </row>
    <row r="88" spans="1:2" x14ac:dyDescent="0.3">
      <c r="A88" s="38" t="s">
        <v>605</v>
      </c>
      <c r="B88" s="38" t="s">
        <v>606</v>
      </c>
    </row>
    <row r="89" spans="1:2" x14ac:dyDescent="0.3">
      <c r="A89" s="38" t="s">
        <v>607</v>
      </c>
      <c r="B89" s="38" t="s">
        <v>606</v>
      </c>
    </row>
  </sheetData>
  <mergeCells count="11">
    <mergeCell ref="D1:F1"/>
    <mergeCell ref="A49:C49"/>
    <mergeCell ref="A68:C68"/>
    <mergeCell ref="A60:C60"/>
    <mergeCell ref="A77:C77"/>
    <mergeCell ref="D2:F2"/>
    <mergeCell ref="A12:C12"/>
    <mergeCell ref="A23:C23"/>
    <mergeCell ref="A32:C32"/>
    <mergeCell ref="A40:C40"/>
    <mergeCell ref="A57:C5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topLeftCell="A70" zoomScaleNormal="100" workbookViewId="0">
      <selection activeCell="A78" sqref="A78:B88"/>
    </sheetView>
  </sheetViews>
  <sheetFormatPr defaultRowHeight="14.4" x14ac:dyDescent="0.3"/>
  <cols>
    <col min="2" max="2" width="12.109375" bestFit="1" customWidth="1"/>
    <col min="3" max="3" width="44.5546875" bestFit="1" customWidth="1"/>
    <col min="4" max="4" width="7.109375" bestFit="1" customWidth="1"/>
    <col min="5" max="5" width="4" bestFit="1" customWidth="1"/>
    <col min="6" max="6" width="5.44140625" bestFit="1" customWidth="1"/>
    <col min="7" max="7" width="10.33203125" style="1" bestFit="1" customWidth="1"/>
    <col min="8" max="8" width="14.88671875" style="2" bestFit="1" customWidth="1"/>
    <col min="9" max="9" width="30.44140625" style="3" bestFit="1" customWidth="1"/>
    <col min="10" max="10" width="39.109375" bestFit="1" customWidth="1"/>
    <col min="11" max="11" width="5.6640625" bestFit="1" customWidth="1"/>
    <col min="12" max="12" width="158.88671875" style="2" bestFit="1" customWidth="1"/>
  </cols>
  <sheetData>
    <row r="1" spans="1:12" s="4" customFormat="1" x14ac:dyDescent="0.3">
      <c r="A1" s="11" t="s">
        <v>0</v>
      </c>
      <c r="B1" s="11" t="s">
        <v>1</v>
      </c>
      <c r="C1" s="11" t="s">
        <v>2</v>
      </c>
      <c r="D1" s="59" t="s">
        <v>3</v>
      </c>
      <c r="E1" s="59"/>
      <c r="F1" s="59"/>
      <c r="G1" s="12" t="s">
        <v>4</v>
      </c>
      <c r="H1" s="13" t="s">
        <v>5</v>
      </c>
      <c r="I1" s="14" t="s">
        <v>6</v>
      </c>
      <c r="J1" s="11" t="s">
        <v>7</v>
      </c>
      <c r="K1" s="11" t="s">
        <v>8</v>
      </c>
      <c r="L1" s="13" t="s">
        <v>9</v>
      </c>
    </row>
    <row r="2" spans="1:12" s="4" customFormat="1" x14ac:dyDescent="0.3">
      <c r="A2" s="11" t="s">
        <v>432</v>
      </c>
      <c r="B2" s="11" t="s">
        <v>10</v>
      </c>
      <c r="C2" s="11" t="s">
        <v>11</v>
      </c>
      <c r="D2" s="59" t="s">
        <v>12</v>
      </c>
      <c r="E2" s="59"/>
      <c r="F2" s="59"/>
      <c r="G2" s="12" t="s">
        <v>13</v>
      </c>
      <c r="H2" s="13" t="s">
        <v>14</v>
      </c>
      <c r="I2" s="14"/>
      <c r="J2" s="11"/>
      <c r="K2" s="11"/>
      <c r="L2" s="13"/>
    </row>
    <row r="3" spans="1:12" s="4" customFormat="1" x14ac:dyDescent="0.3">
      <c r="A3" s="11"/>
      <c r="B3" s="11"/>
      <c r="C3" s="11"/>
      <c r="D3" s="11" t="s">
        <v>282</v>
      </c>
      <c r="E3" s="11" t="s">
        <v>283</v>
      </c>
      <c r="F3" s="11" t="s">
        <v>284</v>
      </c>
      <c r="G3" s="12"/>
      <c r="H3" s="13"/>
      <c r="I3" s="14"/>
      <c r="J3" s="11"/>
      <c r="K3" s="11"/>
      <c r="L3" s="13"/>
    </row>
    <row r="4" spans="1:12" x14ac:dyDescent="0.3">
      <c r="A4" s="19"/>
      <c r="B4" s="19" t="s">
        <v>16</v>
      </c>
      <c r="C4" s="19" t="s">
        <v>87</v>
      </c>
      <c r="D4" s="19">
        <v>3</v>
      </c>
      <c r="E4" s="19"/>
      <c r="F4" s="19">
        <f>SUM(D4:E4)</f>
        <v>3</v>
      </c>
      <c r="G4" s="24"/>
      <c r="H4" s="27"/>
      <c r="I4" s="21" t="s">
        <v>92</v>
      </c>
      <c r="J4" s="19" t="s">
        <v>179</v>
      </c>
      <c r="K4" s="19"/>
      <c r="L4" s="27"/>
    </row>
    <row r="5" spans="1:12" x14ac:dyDescent="0.3">
      <c r="A5" s="19"/>
      <c r="B5" s="19" t="s">
        <v>17</v>
      </c>
      <c r="C5" s="19" t="s">
        <v>88</v>
      </c>
      <c r="D5" s="19">
        <v>3</v>
      </c>
      <c r="E5" s="19"/>
      <c r="F5" s="38">
        <f t="shared" ref="F5:F9" si="0">SUM(D5:E5)</f>
        <v>3</v>
      </c>
      <c r="G5" s="24"/>
      <c r="H5" s="27"/>
      <c r="I5" s="21" t="s">
        <v>102</v>
      </c>
      <c r="J5" s="19" t="s">
        <v>179</v>
      </c>
      <c r="K5" s="19"/>
      <c r="L5" s="27"/>
    </row>
    <row r="6" spans="1:12" x14ac:dyDescent="0.3">
      <c r="A6" s="19"/>
      <c r="B6" s="19" t="s">
        <v>285</v>
      </c>
      <c r="C6" s="19" t="s">
        <v>290</v>
      </c>
      <c r="D6" s="19">
        <v>2</v>
      </c>
      <c r="E6" s="19">
        <v>1</v>
      </c>
      <c r="F6" s="38">
        <f t="shared" si="0"/>
        <v>3</v>
      </c>
      <c r="G6" s="24"/>
      <c r="H6" s="27"/>
      <c r="I6" s="21" t="s">
        <v>295</v>
      </c>
      <c r="J6" s="19" t="s">
        <v>179</v>
      </c>
      <c r="K6" s="19"/>
      <c r="L6" s="27"/>
    </row>
    <row r="7" spans="1:12" x14ac:dyDescent="0.3">
      <c r="A7" s="19"/>
      <c r="B7" s="19" t="s">
        <v>286</v>
      </c>
      <c r="C7" s="19" t="s">
        <v>291</v>
      </c>
      <c r="D7" s="19">
        <v>2</v>
      </c>
      <c r="E7" s="19">
        <v>1</v>
      </c>
      <c r="F7" s="38">
        <f t="shared" si="0"/>
        <v>3</v>
      </c>
      <c r="G7" s="24"/>
      <c r="H7" s="27"/>
      <c r="I7" s="21" t="s">
        <v>295</v>
      </c>
      <c r="J7" s="19" t="s">
        <v>179</v>
      </c>
      <c r="K7" s="19"/>
      <c r="L7" s="27"/>
    </row>
    <row r="8" spans="1:12" x14ac:dyDescent="0.3">
      <c r="A8" s="19"/>
      <c r="B8" s="19" t="s">
        <v>433</v>
      </c>
      <c r="C8" s="19" t="s">
        <v>435</v>
      </c>
      <c r="D8" s="19">
        <v>3</v>
      </c>
      <c r="E8" s="19"/>
      <c r="F8" s="38">
        <f t="shared" si="0"/>
        <v>3</v>
      </c>
      <c r="G8" s="24"/>
      <c r="H8" s="27"/>
      <c r="I8" s="21" t="s">
        <v>437</v>
      </c>
      <c r="J8" s="19" t="s">
        <v>179</v>
      </c>
      <c r="K8" s="19"/>
      <c r="L8" s="27"/>
    </row>
    <row r="9" spans="1:12" x14ac:dyDescent="0.3">
      <c r="A9" s="19"/>
      <c r="B9" s="19" t="s">
        <v>434</v>
      </c>
      <c r="C9" s="19" t="s">
        <v>436</v>
      </c>
      <c r="D9" s="19">
        <v>3</v>
      </c>
      <c r="E9" s="19"/>
      <c r="F9" s="38">
        <f t="shared" si="0"/>
        <v>3</v>
      </c>
      <c r="G9" s="24"/>
      <c r="H9" s="27"/>
      <c r="I9" s="21" t="s">
        <v>437</v>
      </c>
      <c r="J9" s="19" t="s">
        <v>179</v>
      </c>
      <c r="K9" s="19"/>
      <c r="L9" s="27"/>
    </row>
    <row r="10" spans="1:12" s="17" customFormat="1" x14ac:dyDescent="0.3">
      <c r="A10" s="57" t="s">
        <v>73</v>
      </c>
      <c r="B10" s="57"/>
      <c r="C10" s="57"/>
      <c r="D10" s="30">
        <f>SUM(D4:D9)</f>
        <v>16</v>
      </c>
      <c r="E10" s="30">
        <v>2</v>
      </c>
      <c r="F10" s="30">
        <f>SUM(D10:E10)</f>
        <v>18</v>
      </c>
      <c r="G10" s="25"/>
      <c r="H10" s="28"/>
      <c r="I10" s="22"/>
      <c r="J10" s="30"/>
      <c r="K10" s="30"/>
      <c r="L10" s="28"/>
    </row>
    <row r="11" spans="1:12" x14ac:dyDescent="0.3">
      <c r="A11" s="19"/>
      <c r="B11" s="19"/>
      <c r="C11" s="19"/>
      <c r="D11" s="19"/>
      <c r="E11" s="19"/>
      <c r="F11" s="19"/>
      <c r="G11" s="24"/>
      <c r="H11" s="27" t="s">
        <v>81</v>
      </c>
      <c r="I11" s="21"/>
      <c r="J11" s="19"/>
      <c r="K11" s="19"/>
      <c r="L11" s="27"/>
    </row>
    <row r="12" spans="1:12" x14ac:dyDescent="0.3">
      <c r="A12" s="19"/>
      <c r="B12" s="19" t="s">
        <v>22</v>
      </c>
      <c r="C12" s="19" t="s">
        <v>95</v>
      </c>
      <c r="D12" s="19">
        <v>2</v>
      </c>
      <c r="E12" s="19"/>
      <c r="F12" s="19">
        <f>SUM(D12:E12)</f>
        <v>2</v>
      </c>
      <c r="G12" s="24"/>
      <c r="H12" s="27"/>
      <c r="I12" s="21" t="s">
        <v>92</v>
      </c>
      <c r="J12" s="19" t="s">
        <v>179</v>
      </c>
      <c r="K12" s="19"/>
      <c r="L12" s="27"/>
    </row>
    <row r="13" spans="1:12" x14ac:dyDescent="0.3">
      <c r="A13" s="19"/>
      <c r="B13" s="19" t="s">
        <v>23</v>
      </c>
      <c r="C13" s="19" t="s">
        <v>96</v>
      </c>
      <c r="D13" s="19">
        <v>2</v>
      </c>
      <c r="E13" s="19"/>
      <c r="F13" s="38">
        <f t="shared" ref="F13:F18" si="1">SUM(D13:E13)</f>
        <v>2</v>
      </c>
      <c r="G13" s="24"/>
      <c r="H13" s="27"/>
      <c r="I13" s="21" t="s">
        <v>92</v>
      </c>
      <c r="J13" s="19" t="s">
        <v>179</v>
      </c>
      <c r="K13" s="19"/>
      <c r="L13" s="27" t="s">
        <v>592</v>
      </c>
    </row>
    <row r="14" spans="1:12" x14ac:dyDescent="0.3">
      <c r="A14" s="19"/>
      <c r="B14" s="19" t="s">
        <v>297</v>
      </c>
      <c r="C14" s="19" t="s">
        <v>301</v>
      </c>
      <c r="D14" s="19">
        <v>2</v>
      </c>
      <c r="E14" s="19">
        <v>1</v>
      </c>
      <c r="F14" s="38">
        <f t="shared" si="1"/>
        <v>3</v>
      </c>
      <c r="G14" s="24"/>
      <c r="H14" s="27"/>
      <c r="I14" s="21" t="s">
        <v>295</v>
      </c>
      <c r="J14" s="19" t="s">
        <v>179</v>
      </c>
      <c r="K14" s="19"/>
      <c r="L14" s="27"/>
    </row>
    <row r="15" spans="1:12" x14ac:dyDescent="0.3">
      <c r="A15" s="19"/>
      <c r="B15" s="19" t="s">
        <v>438</v>
      </c>
      <c r="C15" s="19" t="s">
        <v>302</v>
      </c>
      <c r="D15" s="19">
        <v>2</v>
      </c>
      <c r="E15" s="19">
        <v>1</v>
      </c>
      <c r="F15" s="38">
        <f t="shared" si="1"/>
        <v>3</v>
      </c>
      <c r="G15" s="24"/>
      <c r="H15" s="27"/>
      <c r="I15" s="21" t="s">
        <v>295</v>
      </c>
      <c r="J15" s="19" t="s">
        <v>179</v>
      </c>
      <c r="K15" s="19"/>
      <c r="L15" s="27"/>
    </row>
    <row r="16" spans="1:12" x14ac:dyDescent="0.3">
      <c r="A16" s="19"/>
      <c r="B16" s="19" t="s">
        <v>439</v>
      </c>
      <c r="C16" s="19" t="s">
        <v>445</v>
      </c>
      <c r="D16" s="19">
        <v>3</v>
      </c>
      <c r="E16" s="19"/>
      <c r="F16" s="38">
        <f t="shared" si="1"/>
        <v>3</v>
      </c>
      <c r="G16" s="24"/>
      <c r="H16" s="27"/>
      <c r="I16" s="21" t="s">
        <v>437</v>
      </c>
      <c r="J16" s="19" t="s">
        <v>179</v>
      </c>
      <c r="K16" s="19"/>
      <c r="L16" s="27"/>
    </row>
    <row r="17" spans="1:12" x14ac:dyDescent="0.3">
      <c r="A17" s="19"/>
      <c r="B17" s="19" t="s">
        <v>440</v>
      </c>
      <c r="C17" s="19" t="s">
        <v>446</v>
      </c>
      <c r="D17" s="19">
        <v>3</v>
      </c>
      <c r="E17" s="19"/>
      <c r="F17" s="38">
        <f t="shared" si="1"/>
        <v>3</v>
      </c>
      <c r="G17" s="24"/>
      <c r="H17" s="27"/>
      <c r="I17" s="21" t="s">
        <v>437</v>
      </c>
      <c r="J17" s="19" t="s">
        <v>179</v>
      </c>
      <c r="K17" s="19"/>
      <c r="L17" s="27"/>
    </row>
    <row r="18" spans="1:12" x14ac:dyDescent="0.3">
      <c r="A18" s="19"/>
      <c r="B18" s="19" t="s">
        <v>29</v>
      </c>
      <c r="C18" s="19" t="s">
        <v>447</v>
      </c>
      <c r="D18" s="19">
        <v>2</v>
      </c>
      <c r="E18" s="19"/>
      <c r="F18" s="38">
        <f t="shared" si="1"/>
        <v>2</v>
      </c>
      <c r="G18" s="24"/>
      <c r="H18" s="27"/>
      <c r="I18" s="21" t="s">
        <v>92</v>
      </c>
      <c r="J18" s="19" t="s">
        <v>179</v>
      </c>
      <c r="K18" s="19"/>
      <c r="L18" s="27"/>
    </row>
    <row r="19" spans="1:12" s="17" customFormat="1" x14ac:dyDescent="0.3">
      <c r="A19" s="57" t="s">
        <v>73</v>
      </c>
      <c r="B19" s="57"/>
      <c r="C19" s="57"/>
      <c r="D19" s="30">
        <f>SUM(D12:D18)</f>
        <v>16</v>
      </c>
      <c r="E19" s="30">
        <v>2</v>
      </c>
      <c r="F19" s="30">
        <f>SUM(D19:E19)</f>
        <v>18</v>
      </c>
      <c r="G19" s="25"/>
      <c r="H19" s="28"/>
      <c r="I19" s="22"/>
      <c r="J19" s="30"/>
      <c r="K19" s="30"/>
      <c r="L19" s="28"/>
    </row>
    <row r="20" spans="1:12" x14ac:dyDescent="0.3">
      <c r="A20" s="19"/>
      <c r="B20" s="19"/>
      <c r="C20" s="19"/>
      <c r="D20" s="19"/>
      <c r="E20" s="19"/>
      <c r="F20" s="19"/>
      <c r="G20" s="24" t="s">
        <v>83</v>
      </c>
      <c r="H20" s="27" t="s">
        <v>159</v>
      </c>
      <c r="I20" s="21"/>
      <c r="J20" s="19"/>
      <c r="K20" s="19"/>
      <c r="L20" s="27"/>
    </row>
    <row r="21" spans="1:12" x14ac:dyDescent="0.3">
      <c r="A21" s="19"/>
      <c r="B21" s="19" t="s">
        <v>30</v>
      </c>
      <c r="C21" s="19" t="s">
        <v>103</v>
      </c>
      <c r="D21" s="19">
        <v>3</v>
      </c>
      <c r="E21" s="19"/>
      <c r="F21" s="19">
        <f>SUM(D21:E21)</f>
        <v>3</v>
      </c>
      <c r="G21" s="24"/>
      <c r="H21" s="27"/>
      <c r="I21" s="21" t="s">
        <v>92</v>
      </c>
      <c r="J21" s="19" t="s">
        <v>179</v>
      </c>
      <c r="K21" s="19"/>
      <c r="L21" s="27" t="s">
        <v>594</v>
      </c>
    </row>
    <row r="22" spans="1:12" x14ac:dyDescent="0.3">
      <c r="A22" s="19"/>
      <c r="B22" s="19" t="s">
        <v>31</v>
      </c>
      <c r="C22" s="19" t="s">
        <v>406</v>
      </c>
      <c r="D22" s="19">
        <v>3</v>
      </c>
      <c r="E22" s="19"/>
      <c r="F22" s="38">
        <f t="shared" ref="F22:F26" si="2">SUM(D22:E22)</f>
        <v>3</v>
      </c>
      <c r="G22" s="24"/>
      <c r="H22" s="27"/>
      <c r="I22" s="21" t="s">
        <v>92</v>
      </c>
      <c r="J22" s="19" t="s">
        <v>179</v>
      </c>
      <c r="K22" s="19"/>
      <c r="L22" s="27"/>
    </row>
    <row r="23" spans="1:12" x14ac:dyDescent="0.3">
      <c r="A23" s="19"/>
      <c r="B23" s="19" t="s">
        <v>305</v>
      </c>
      <c r="C23" s="19" t="s">
        <v>313</v>
      </c>
      <c r="D23" s="19">
        <v>3</v>
      </c>
      <c r="E23" s="19"/>
      <c r="F23" s="38">
        <f t="shared" si="2"/>
        <v>3</v>
      </c>
      <c r="G23" s="24"/>
      <c r="H23" s="27"/>
      <c r="I23" s="21" t="s">
        <v>295</v>
      </c>
      <c r="J23" s="19" t="s">
        <v>179</v>
      </c>
      <c r="K23" s="19"/>
      <c r="L23" s="27"/>
    </row>
    <row r="24" spans="1:12" x14ac:dyDescent="0.3">
      <c r="A24" s="19"/>
      <c r="B24" s="19" t="s">
        <v>306</v>
      </c>
      <c r="C24" s="19" t="s">
        <v>314</v>
      </c>
      <c r="D24" s="19">
        <v>3</v>
      </c>
      <c r="E24" s="19"/>
      <c r="F24" s="38">
        <f t="shared" si="2"/>
        <v>3</v>
      </c>
      <c r="G24" s="24"/>
      <c r="H24" s="27"/>
      <c r="I24" s="21" t="s">
        <v>295</v>
      </c>
      <c r="J24" s="19" t="s">
        <v>179</v>
      </c>
      <c r="K24" s="19"/>
      <c r="L24" s="27"/>
    </row>
    <row r="25" spans="1:12" x14ac:dyDescent="0.3">
      <c r="A25" s="19"/>
      <c r="B25" s="19" t="s">
        <v>441</v>
      </c>
      <c r="C25" s="19" t="s">
        <v>448</v>
      </c>
      <c r="D25" s="19">
        <v>3</v>
      </c>
      <c r="E25" s="19"/>
      <c r="F25" s="38">
        <f t="shared" si="2"/>
        <v>3</v>
      </c>
      <c r="G25" s="24"/>
      <c r="H25" s="27"/>
      <c r="I25" s="21" t="s">
        <v>437</v>
      </c>
      <c r="J25" s="19" t="s">
        <v>179</v>
      </c>
      <c r="K25" s="19"/>
      <c r="L25" s="27"/>
    </row>
    <row r="26" spans="1:12" x14ac:dyDescent="0.3">
      <c r="A26" s="19"/>
      <c r="B26" s="19" t="s">
        <v>442</v>
      </c>
      <c r="C26" s="19" t="s">
        <v>449</v>
      </c>
      <c r="D26" s="19">
        <v>3</v>
      </c>
      <c r="E26" s="19"/>
      <c r="F26" s="38">
        <f t="shared" si="2"/>
        <v>3</v>
      </c>
      <c r="G26" s="24"/>
      <c r="H26" s="27"/>
      <c r="I26" s="21" t="s">
        <v>437</v>
      </c>
      <c r="J26" s="19" t="s">
        <v>179</v>
      </c>
      <c r="K26" s="19"/>
      <c r="L26" s="27"/>
    </row>
    <row r="27" spans="1:12" s="17" customFormat="1" x14ac:dyDescent="0.3">
      <c r="A27" s="57" t="s">
        <v>73</v>
      </c>
      <c r="B27" s="57"/>
      <c r="C27" s="57"/>
      <c r="D27" s="30">
        <f>SUM(D21:D26)</f>
        <v>18</v>
      </c>
      <c r="E27" s="30"/>
      <c r="F27" s="30"/>
      <c r="G27" s="25"/>
      <c r="H27" s="28"/>
      <c r="I27" s="22"/>
      <c r="J27" s="30"/>
      <c r="K27" s="30"/>
      <c r="L27" s="28"/>
    </row>
    <row r="28" spans="1:12" x14ac:dyDescent="0.3">
      <c r="A28" s="19"/>
      <c r="B28" s="19"/>
      <c r="C28" s="19"/>
      <c r="D28" s="19"/>
      <c r="E28" s="19"/>
      <c r="F28" s="19"/>
      <c r="G28" s="24"/>
      <c r="H28" s="27" t="s">
        <v>215</v>
      </c>
      <c r="I28" s="21"/>
      <c r="J28" s="19"/>
      <c r="K28" s="19"/>
      <c r="L28" s="27"/>
    </row>
    <row r="29" spans="1:12" x14ac:dyDescent="0.3">
      <c r="A29" s="19"/>
      <c r="B29" s="19" t="s">
        <v>35</v>
      </c>
      <c r="C29" s="19" t="s">
        <v>110</v>
      </c>
      <c r="D29" s="19">
        <v>3</v>
      </c>
      <c r="E29" s="19"/>
      <c r="F29" s="19">
        <f>SUM(D29:E29)</f>
        <v>3</v>
      </c>
      <c r="G29" s="24"/>
      <c r="H29" s="27"/>
      <c r="I29" s="21" t="s">
        <v>92</v>
      </c>
      <c r="J29" s="19" t="s">
        <v>179</v>
      </c>
      <c r="K29" s="19"/>
      <c r="L29" s="27" t="s">
        <v>595</v>
      </c>
    </row>
    <row r="30" spans="1:12" x14ac:dyDescent="0.3">
      <c r="A30" s="19"/>
      <c r="B30" s="19" t="s">
        <v>36</v>
      </c>
      <c r="C30" s="19" t="s">
        <v>316</v>
      </c>
      <c r="D30" s="19">
        <v>3</v>
      </c>
      <c r="E30" s="19"/>
      <c r="F30" s="38">
        <f t="shared" ref="F30:F35" si="3">SUM(D30:E30)</f>
        <v>3</v>
      </c>
      <c r="G30" s="24"/>
      <c r="H30" s="27"/>
      <c r="I30" s="21" t="s">
        <v>92</v>
      </c>
      <c r="J30" s="19" t="s">
        <v>179</v>
      </c>
      <c r="K30" s="19"/>
      <c r="L30" s="27"/>
    </row>
    <row r="31" spans="1:12" x14ac:dyDescent="0.3">
      <c r="A31" s="19"/>
      <c r="B31" s="19" t="s">
        <v>309</v>
      </c>
      <c r="C31" s="19" t="s">
        <v>318</v>
      </c>
      <c r="D31" s="19">
        <v>2</v>
      </c>
      <c r="E31" s="19">
        <v>1</v>
      </c>
      <c r="F31" s="38">
        <f t="shared" si="3"/>
        <v>3</v>
      </c>
      <c r="G31" s="24"/>
      <c r="H31" s="27"/>
      <c r="I31" s="21" t="s">
        <v>295</v>
      </c>
      <c r="J31" s="19" t="s">
        <v>179</v>
      </c>
      <c r="K31" s="19"/>
      <c r="L31" s="27"/>
    </row>
    <row r="32" spans="1:12" x14ac:dyDescent="0.3">
      <c r="A32" s="19"/>
      <c r="B32" s="19" t="s">
        <v>443</v>
      </c>
      <c r="C32" s="19" t="s">
        <v>450</v>
      </c>
      <c r="D32" s="19">
        <v>3</v>
      </c>
      <c r="E32" s="19"/>
      <c r="F32" s="38">
        <f t="shared" si="3"/>
        <v>3</v>
      </c>
      <c r="G32" s="24"/>
      <c r="H32" s="27"/>
      <c r="I32" s="21" t="s">
        <v>437</v>
      </c>
      <c r="J32" s="19" t="s">
        <v>179</v>
      </c>
      <c r="K32" s="19"/>
      <c r="L32" s="27"/>
    </row>
    <row r="33" spans="1:12" x14ac:dyDescent="0.3">
      <c r="A33" s="19"/>
      <c r="B33" s="19" t="s">
        <v>444</v>
      </c>
      <c r="C33" s="19" t="s">
        <v>451</v>
      </c>
      <c r="D33" s="19">
        <v>3</v>
      </c>
      <c r="E33" s="19"/>
      <c r="F33" s="38">
        <f t="shared" si="3"/>
        <v>3</v>
      </c>
      <c r="G33" s="24"/>
      <c r="H33" s="27"/>
      <c r="I33" s="21" t="s">
        <v>437</v>
      </c>
      <c r="J33" s="19" t="s">
        <v>179</v>
      </c>
      <c r="K33" s="19"/>
      <c r="L33" s="27"/>
    </row>
    <row r="34" spans="1:12" x14ac:dyDescent="0.3">
      <c r="A34" s="19"/>
      <c r="B34" s="19" t="s">
        <v>24</v>
      </c>
      <c r="C34" s="19" t="s">
        <v>142</v>
      </c>
      <c r="D34" s="19">
        <v>1</v>
      </c>
      <c r="E34" s="19"/>
      <c r="F34" s="38">
        <f t="shared" si="3"/>
        <v>1</v>
      </c>
      <c r="G34" s="24"/>
      <c r="H34" s="27"/>
      <c r="I34" s="21" t="s">
        <v>102</v>
      </c>
      <c r="J34" s="19" t="s">
        <v>179</v>
      </c>
      <c r="K34" s="19"/>
      <c r="L34" s="27"/>
    </row>
    <row r="35" spans="1:12" x14ac:dyDescent="0.3">
      <c r="A35" s="19"/>
      <c r="B35" s="19" t="s">
        <v>25</v>
      </c>
      <c r="C35" s="19" t="s">
        <v>171</v>
      </c>
      <c r="D35" s="19">
        <v>2</v>
      </c>
      <c r="E35" s="19"/>
      <c r="F35" s="38">
        <f t="shared" si="3"/>
        <v>2</v>
      </c>
      <c r="G35" s="24"/>
      <c r="H35" s="27"/>
      <c r="I35" s="21" t="s">
        <v>102</v>
      </c>
      <c r="J35" s="19" t="s">
        <v>179</v>
      </c>
      <c r="K35" s="19"/>
      <c r="L35" s="27"/>
    </row>
    <row r="36" spans="1:12" s="17" customFormat="1" x14ac:dyDescent="0.3">
      <c r="A36" s="57" t="s">
        <v>73</v>
      </c>
      <c r="B36" s="57"/>
      <c r="C36" s="57"/>
      <c r="D36" s="30">
        <f>SUM(D29:D35)</f>
        <v>17</v>
      </c>
      <c r="E36" s="30">
        <v>1</v>
      </c>
      <c r="F36" s="30">
        <f>SUM(D36:E36)</f>
        <v>18</v>
      </c>
      <c r="G36" s="25"/>
      <c r="H36" s="28"/>
      <c r="I36" s="22"/>
      <c r="J36" s="30"/>
      <c r="K36" s="30"/>
      <c r="L36" s="28"/>
    </row>
    <row r="37" spans="1:12" x14ac:dyDescent="0.3">
      <c r="A37" s="19"/>
      <c r="B37" s="19"/>
      <c r="C37" s="19"/>
      <c r="D37" s="19"/>
      <c r="E37" s="19"/>
      <c r="F37" s="19"/>
      <c r="G37" s="24" t="s">
        <v>84</v>
      </c>
      <c r="H37" s="27" t="s">
        <v>159</v>
      </c>
      <c r="I37" s="21"/>
      <c r="J37" s="19"/>
      <c r="K37" s="19"/>
      <c r="L37" s="27"/>
    </row>
    <row r="38" spans="1:12" x14ac:dyDescent="0.3">
      <c r="A38" s="19"/>
      <c r="B38" s="19" t="s">
        <v>41</v>
      </c>
      <c r="C38" s="19" t="s">
        <v>330</v>
      </c>
      <c r="D38" s="19">
        <v>3</v>
      </c>
      <c r="E38" s="19"/>
      <c r="F38" s="19">
        <f>SUM(D38:E38)</f>
        <v>3</v>
      </c>
      <c r="G38" s="24"/>
      <c r="H38" s="27"/>
      <c r="I38" s="21" t="s">
        <v>92</v>
      </c>
      <c r="J38" s="19" t="s">
        <v>179</v>
      </c>
      <c r="K38" s="19"/>
      <c r="L38" s="27" t="s">
        <v>596</v>
      </c>
    </row>
    <row r="39" spans="1:12" x14ac:dyDescent="0.3">
      <c r="A39" s="19"/>
      <c r="B39" s="19" t="s">
        <v>42</v>
      </c>
      <c r="C39" s="19" t="s">
        <v>329</v>
      </c>
      <c r="D39" s="19">
        <v>3</v>
      </c>
      <c r="E39" s="19"/>
      <c r="F39" s="38">
        <f t="shared" ref="F39:F44" si="4">SUM(D39:E39)</f>
        <v>3</v>
      </c>
      <c r="G39" s="24"/>
      <c r="H39" s="27"/>
      <c r="I39" s="21" t="s">
        <v>92</v>
      </c>
      <c r="J39" s="19" t="s">
        <v>179</v>
      </c>
      <c r="K39" s="19"/>
      <c r="L39" s="27" t="s">
        <v>598</v>
      </c>
    </row>
    <row r="40" spans="1:12" x14ac:dyDescent="0.3">
      <c r="A40" s="19"/>
      <c r="B40" s="19" t="s">
        <v>60</v>
      </c>
      <c r="C40" s="19" t="s">
        <v>327</v>
      </c>
      <c r="D40" s="19">
        <v>2</v>
      </c>
      <c r="E40" s="19"/>
      <c r="F40" s="38">
        <f t="shared" si="4"/>
        <v>2</v>
      </c>
      <c r="G40" s="24"/>
      <c r="H40" s="27"/>
      <c r="I40" s="21" t="s">
        <v>102</v>
      </c>
      <c r="J40" s="19" t="s">
        <v>179</v>
      </c>
      <c r="K40" s="19"/>
      <c r="L40" s="27"/>
    </row>
    <row r="41" spans="1:12" x14ac:dyDescent="0.3">
      <c r="A41" s="19"/>
      <c r="B41" s="19" t="s">
        <v>322</v>
      </c>
      <c r="C41" s="19" t="s">
        <v>326</v>
      </c>
      <c r="D41" s="19">
        <v>2</v>
      </c>
      <c r="E41" s="19">
        <v>1</v>
      </c>
      <c r="F41" s="38">
        <f t="shared" si="4"/>
        <v>3</v>
      </c>
      <c r="G41" s="24"/>
      <c r="H41" s="27"/>
      <c r="I41" s="21" t="s">
        <v>295</v>
      </c>
      <c r="J41" s="19" t="s">
        <v>179</v>
      </c>
      <c r="K41" s="19"/>
      <c r="L41" s="27"/>
    </row>
    <row r="42" spans="1:12" x14ac:dyDescent="0.3">
      <c r="A42" s="19"/>
      <c r="B42" s="19" t="s">
        <v>452</v>
      </c>
      <c r="C42" s="19" t="s">
        <v>455</v>
      </c>
      <c r="D42" s="19">
        <v>3</v>
      </c>
      <c r="E42" s="19"/>
      <c r="F42" s="38">
        <f t="shared" si="4"/>
        <v>3</v>
      </c>
      <c r="G42" s="24"/>
      <c r="H42" s="27"/>
      <c r="I42" s="21" t="s">
        <v>437</v>
      </c>
      <c r="J42" s="19" t="s">
        <v>179</v>
      </c>
      <c r="K42" s="19"/>
      <c r="L42" s="27"/>
    </row>
    <row r="43" spans="1:12" x14ac:dyDescent="0.3">
      <c r="A43" s="19"/>
      <c r="B43" s="19" t="s">
        <v>452</v>
      </c>
      <c r="C43" s="19" t="s">
        <v>455</v>
      </c>
      <c r="D43" s="19">
        <v>3</v>
      </c>
      <c r="E43" s="19"/>
      <c r="F43" s="38">
        <f t="shared" si="4"/>
        <v>3</v>
      </c>
      <c r="G43" s="24"/>
      <c r="H43" s="27"/>
      <c r="I43" s="21" t="s">
        <v>437</v>
      </c>
      <c r="J43" s="19" t="s">
        <v>179</v>
      </c>
      <c r="K43" s="19"/>
      <c r="L43" s="27"/>
    </row>
    <row r="44" spans="1:12" x14ac:dyDescent="0.3">
      <c r="A44" s="19"/>
      <c r="B44" s="19" t="s">
        <v>58</v>
      </c>
      <c r="C44" s="19" t="s">
        <v>456</v>
      </c>
      <c r="D44" s="19">
        <v>2</v>
      </c>
      <c r="E44" s="19"/>
      <c r="F44" s="38">
        <f t="shared" si="4"/>
        <v>2</v>
      </c>
      <c r="G44" s="24"/>
      <c r="H44" s="27"/>
      <c r="I44" s="21" t="s">
        <v>92</v>
      </c>
      <c r="J44" s="19" t="s">
        <v>179</v>
      </c>
      <c r="K44" s="19"/>
      <c r="L44" s="27"/>
    </row>
    <row r="45" spans="1:12" s="17" customFormat="1" x14ac:dyDescent="0.3">
      <c r="A45" s="57" t="s">
        <v>73</v>
      </c>
      <c r="B45" s="57"/>
      <c r="C45" s="57"/>
      <c r="D45" s="30">
        <f>SUM(D38:D38:D44)</f>
        <v>18</v>
      </c>
      <c r="E45" s="30">
        <v>1</v>
      </c>
      <c r="F45" s="30">
        <f>SUM(D45:E45)</f>
        <v>19</v>
      </c>
      <c r="G45" s="25"/>
      <c r="H45" s="28"/>
      <c r="I45" s="22"/>
      <c r="J45" s="30"/>
      <c r="K45" s="30"/>
      <c r="L45" s="28"/>
    </row>
    <row r="46" spans="1:12" x14ac:dyDescent="0.3">
      <c r="A46" s="19"/>
      <c r="B46" s="19"/>
      <c r="C46" s="19"/>
      <c r="D46" s="19"/>
      <c r="E46" s="19"/>
      <c r="F46" s="19"/>
      <c r="G46" s="24"/>
      <c r="H46" s="27" t="s">
        <v>215</v>
      </c>
      <c r="I46" s="21"/>
      <c r="J46" s="19"/>
      <c r="K46" s="19"/>
      <c r="L46" s="27"/>
    </row>
    <row r="47" spans="1:12" x14ac:dyDescent="0.3">
      <c r="A47" s="19"/>
      <c r="B47" s="19" t="s">
        <v>331</v>
      </c>
      <c r="C47" s="19" t="s">
        <v>340</v>
      </c>
      <c r="D47" s="19">
        <v>3</v>
      </c>
      <c r="E47" s="19"/>
      <c r="F47" s="19">
        <f>SUM(D47:E47)</f>
        <v>3</v>
      </c>
      <c r="G47" s="24"/>
      <c r="H47" s="27"/>
      <c r="I47" s="21" t="s">
        <v>92</v>
      </c>
      <c r="J47" s="19" t="s">
        <v>179</v>
      </c>
      <c r="K47" s="19"/>
      <c r="L47" s="27" t="s">
        <v>600</v>
      </c>
    </row>
    <row r="48" spans="1:12" x14ac:dyDescent="0.3">
      <c r="A48" s="19"/>
      <c r="B48" s="19" t="s">
        <v>453</v>
      </c>
      <c r="C48" s="19" t="s">
        <v>457</v>
      </c>
      <c r="D48" s="19">
        <v>3</v>
      </c>
      <c r="E48" s="19"/>
      <c r="F48" s="38">
        <f t="shared" ref="F48:F52" si="5">SUM(D48:E48)</f>
        <v>3</v>
      </c>
      <c r="G48" s="24"/>
      <c r="H48" s="27"/>
      <c r="I48" s="21" t="s">
        <v>92</v>
      </c>
      <c r="J48" s="19" t="s">
        <v>179</v>
      </c>
      <c r="K48" s="19"/>
      <c r="L48" s="27" t="s">
        <v>600</v>
      </c>
    </row>
    <row r="49" spans="1:12" x14ac:dyDescent="0.3">
      <c r="A49" s="19"/>
      <c r="B49" s="19" t="s">
        <v>49</v>
      </c>
      <c r="C49" s="19" t="s">
        <v>338</v>
      </c>
      <c r="D49" s="19">
        <v>3</v>
      </c>
      <c r="E49" s="19"/>
      <c r="F49" s="38">
        <f t="shared" si="5"/>
        <v>3</v>
      </c>
      <c r="G49" s="24"/>
      <c r="H49" s="27"/>
      <c r="I49" s="21" t="s">
        <v>92</v>
      </c>
      <c r="J49" s="19" t="s">
        <v>179</v>
      </c>
      <c r="K49" s="19"/>
      <c r="L49" s="27" t="s">
        <v>597</v>
      </c>
    </row>
    <row r="50" spans="1:12" x14ac:dyDescent="0.3">
      <c r="A50" s="19"/>
      <c r="B50" s="19" t="s">
        <v>333</v>
      </c>
      <c r="C50" s="19" t="s">
        <v>337</v>
      </c>
      <c r="D50" s="19">
        <v>3</v>
      </c>
      <c r="E50" s="19"/>
      <c r="F50" s="38">
        <f t="shared" si="5"/>
        <v>3</v>
      </c>
      <c r="G50" s="24"/>
      <c r="H50" s="27"/>
      <c r="I50" s="21" t="s">
        <v>295</v>
      </c>
      <c r="J50" s="19" t="s">
        <v>179</v>
      </c>
      <c r="K50" s="19"/>
      <c r="L50" s="27"/>
    </row>
    <row r="51" spans="1:12" x14ac:dyDescent="0.3">
      <c r="A51" s="19"/>
      <c r="B51" s="19" t="s">
        <v>454</v>
      </c>
      <c r="C51" s="19" t="s">
        <v>455</v>
      </c>
      <c r="D51" s="19">
        <v>3</v>
      </c>
      <c r="E51" s="19"/>
      <c r="F51" s="38">
        <f t="shared" si="5"/>
        <v>3</v>
      </c>
      <c r="G51" s="24"/>
      <c r="H51" s="27"/>
      <c r="I51" s="21" t="s">
        <v>437</v>
      </c>
      <c r="J51" s="19" t="s">
        <v>179</v>
      </c>
      <c r="K51" s="19"/>
      <c r="L51" s="27"/>
    </row>
    <row r="52" spans="1:12" x14ac:dyDescent="0.3">
      <c r="A52" s="19"/>
      <c r="B52" s="19" t="s">
        <v>310</v>
      </c>
      <c r="C52" s="19" t="s">
        <v>458</v>
      </c>
      <c r="D52" s="19">
        <v>3</v>
      </c>
      <c r="E52" s="19"/>
      <c r="F52" s="38">
        <f t="shared" si="5"/>
        <v>3</v>
      </c>
      <c r="G52" s="24"/>
      <c r="H52" s="27"/>
      <c r="I52" s="21" t="s">
        <v>295</v>
      </c>
      <c r="J52" s="19" t="s">
        <v>179</v>
      </c>
      <c r="K52" s="19"/>
      <c r="L52" s="27"/>
    </row>
    <row r="53" spans="1:12" s="17" customFormat="1" x14ac:dyDescent="0.3">
      <c r="A53" s="57" t="s">
        <v>73</v>
      </c>
      <c r="B53" s="57"/>
      <c r="C53" s="57"/>
      <c r="D53" s="30">
        <f>SUM(D47:D52)</f>
        <v>18</v>
      </c>
      <c r="E53" s="30"/>
      <c r="F53" s="30"/>
      <c r="G53" s="25"/>
      <c r="H53" s="28"/>
      <c r="I53" s="22"/>
      <c r="J53" s="30"/>
      <c r="K53" s="30"/>
      <c r="L53" s="28"/>
    </row>
    <row r="54" spans="1:12" x14ac:dyDescent="0.3">
      <c r="A54" s="19"/>
      <c r="B54" s="19"/>
      <c r="C54" s="19"/>
      <c r="D54" s="19"/>
      <c r="E54" s="19"/>
      <c r="F54" s="19"/>
      <c r="G54" s="24"/>
      <c r="H54" s="27" t="s">
        <v>85</v>
      </c>
      <c r="I54" s="21"/>
      <c r="J54" s="19"/>
      <c r="K54" s="19"/>
      <c r="L54" s="27"/>
    </row>
    <row r="55" spans="1:12" x14ac:dyDescent="0.3">
      <c r="A55" s="19"/>
      <c r="B55" s="19" t="s">
        <v>53</v>
      </c>
      <c r="C55" s="19" t="s">
        <v>126</v>
      </c>
      <c r="D55" s="19">
        <v>6</v>
      </c>
      <c r="E55" s="19"/>
      <c r="F55" s="19">
        <f>SUM(D55)</f>
        <v>6</v>
      </c>
      <c r="G55" s="24"/>
      <c r="H55" s="27"/>
      <c r="I55" s="21" t="s">
        <v>92</v>
      </c>
      <c r="J55" s="19" t="s">
        <v>179</v>
      </c>
      <c r="K55" s="19"/>
      <c r="L55" s="27" t="s">
        <v>599</v>
      </c>
    </row>
    <row r="56" spans="1:12" s="17" customFormat="1" x14ac:dyDescent="0.3">
      <c r="A56" s="57" t="s">
        <v>73</v>
      </c>
      <c r="B56" s="57"/>
      <c r="C56" s="57"/>
      <c r="D56" s="30">
        <f>SUM(D55)</f>
        <v>6</v>
      </c>
      <c r="E56" s="30"/>
      <c r="F56" s="30"/>
      <c r="G56" s="25"/>
      <c r="H56" s="28"/>
      <c r="I56" s="22"/>
      <c r="J56" s="30"/>
      <c r="K56" s="30"/>
      <c r="L56" s="28"/>
    </row>
    <row r="57" spans="1:12" x14ac:dyDescent="0.3">
      <c r="A57" s="19"/>
      <c r="B57" s="19"/>
      <c r="C57" s="19"/>
      <c r="D57" s="19"/>
      <c r="E57" s="19"/>
      <c r="F57" s="19"/>
      <c r="G57" s="24" t="s">
        <v>158</v>
      </c>
      <c r="H57" s="27" t="s">
        <v>14</v>
      </c>
      <c r="I57" s="21"/>
      <c r="J57" s="19"/>
      <c r="K57" s="19"/>
      <c r="L57" s="27"/>
    </row>
    <row r="58" spans="1:12" x14ac:dyDescent="0.3">
      <c r="A58" s="19"/>
      <c r="B58" s="19" t="s">
        <v>54</v>
      </c>
      <c r="C58" s="19" t="s">
        <v>80</v>
      </c>
      <c r="D58" s="19">
        <v>3</v>
      </c>
      <c r="E58" s="19"/>
      <c r="F58" s="19">
        <f>SUM(D58:E58)</f>
        <v>3</v>
      </c>
      <c r="G58" s="24"/>
      <c r="H58" s="27"/>
      <c r="I58" s="21" t="s">
        <v>92</v>
      </c>
      <c r="J58" s="19" t="s">
        <v>179</v>
      </c>
      <c r="K58" s="19"/>
      <c r="L58" s="27" t="s">
        <v>591</v>
      </c>
    </row>
    <row r="59" spans="1:12" x14ac:dyDescent="0.3">
      <c r="A59" s="19"/>
      <c r="B59" s="19" t="s">
        <v>55</v>
      </c>
      <c r="C59" s="19" t="s">
        <v>350</v>
      </c>
      <c r="D59" s="19">
        <v>3</v>
      </c>
      <c r="E59" s="19"/>
      <c r="F59" s="38">
        <f t="shared" ref="F59:F63" si="6">SUM(D59:E59)</f>
        <v>3</v>
      </c>
      <c r="G59" s="24"/>
      <c r="H59" s="27"/>
      <c r="I59" s="21" t="s">
        <v>92</v>
      </c>
      <c r="J59" s="19" t="s">
        <v>179</v>
      </c>
      <c r="K59" s="19"/>
      <c r="L59" s="27" t="s">
        <v>591</v>
      </c>
    </row>
    <row r="60" spans="1:12" x14ac:dyDescent="0.3">
      <c r="A60" s="19"/>
      <c r="B60" s="19" t="s">
        <v>342</v>
      </c>
      <c r="C60" s="19" t="s">
        <v>351</v>
      </c>
      <c r="D60" s="19">
        <v>2</v>
      </c>
      <c r="E60" s="19">
        <v>1</v>
      </c>
      <c r="F60" s="38">
        <f t="shared" si="6"/>
        <v>3</v>
      </c>
      <c r="G60" s="24"/>
      <c r="H60" s="27"/>
      <c r="I60" s="21" t="s">
        <v>295</v>
      </c>
      <c r="J60" s="19" t="s">
        <v>179</v>
      </c>
      <c r="K60" s="19"/>
      <c r="L60" s="27"/>
    </row>
    <row r="61" spans="1:12" x14ac:dyDescent="0.3">
      <c r="A61" s="19"/>
      <c r="B61" s="19" t="s">
        <v>343</v>
      </c>
      <c r="C61" s="19" t="s">
        <v>352</v>
      </c>
      <c r="D61" s="19">
        <v>2</v>
      </c>
      <c r="E61" s="19">
        <v>1</v>
      </c>
      <c r="F61" s="38">
        <f t="shared" si="6"/>
        <v>3</v>
      </c>
      <c r="G61" s="24"/>
      <c r="H61" s="27"/>
      <c r="I61" s="21" t="s">
        <v>295</v>
      </c>
      <c r="J61" s="19" t="s">
        <v>179</v>
      </c>
      <c r="K61" s="19"/>
      <c r="L61" s="27"/>
    </row>
    <row r="62" spans="1:12" x14ac:dyDescent="0.3">
      <c r="A62" s="19"/>
      <c r="B62" s="19" t="s">
        <v>452</v>
      </c>
      <c r="C62" s="19" t="s">
        <v>455</v>
      </c>
      <c r="D62" s="19">
        <v>3</v>
      </c>
      <c r="E62" s="19"/>
      <c r="F62" s="38">
        <f t="shared" si="6"/>
        <v>3</v>
      </c>
      <c r="G62" s="24"/>
      <c r="H62" s="27"/>
      <c r="I62" s="21" t="s">
        <v>437</v>
      </c>
      <c r="J62" s="19" t="s">
        <v>179</v>
      </c>
      <c r="K62" s="19"/>
      <c r="L62" s="27"/>
    </row>
    <row r="63" spans="1:12" x14ac:dyDescent="0.3">
      <c r="A63" s="19"/>
      <c r="B63" s="19" t="s">
        <v>452</v>
      </c>
      <c r="C63" s="19" t="s">
        <v>455</v>
      </c>
      <c r="D63" s="19">
        <v>3</v>
      </c>
      <c r="E63" s="19"/>
      <c r="F63" s="38">
        <f t="shared" si="6"/>
        <v>3</v>
      </c>
      <c r="G63" s="24"/>
      <c r="H63" s="27"/>
      <c r="I63" s="21" t="s">
        <v>437</v>
      </c>
      <c r="J63" s="19" t="s">
        <v>179</v>
      </c>
      <c r="K63" s="19"/>
      <c r="L63" s="27"/>
    </row>
    <row r="64" spans="1:12" s="17" customFormat="1" x14ac:dyDescent="0.3">
      <c r="A64" s="57" t="s">
        <v>73</v>
      </c>
      <c r="B64" s="57"/>
      <c r="C64" s="57"/>
      <c r="D64" s="30">
        <f>SUM(D58:D63)</f>
        <v>16</v>
      </c>
      <c r="E64" s="30">
        <v>2</v>
      </c>
      <c r="F64" s="30">
        <f>SUM(D64:E64)</f>
        <v>18</v>
      </c>
      <c r="G64" s="25"/>
      <c r="H64" s="28"/>
      <c r="I64" s="22"/>
      <c r="J64" s="30"/>
      <c r="K64" s="30"/>
      <c r="L64" s="28"/>
    </row>
    <row r="66" spans="1:12" x14ac:dyDescent="0.3">
      <c r="A66" s="60" t="s">
        <v>459</v>
      </c>
      <c r="B66" s="60"/>
      <c r="C66" s="60"/>
      <c r="I66" s="33"/>
      <c r="J66" s="10" t="s">
        <v>179</v>
      </c>
    </row>
    <row r="67" spans="1:12" x14ac:dyDescent="0.3">
      <c r="B67" s="10" t="s">
        <v>460</v>
      </c>
      <c r="C67" s="10" t="s">
        <v>462</v>
      </c>
      <c r="D67" s="10">
        <v>3</v>
      </c>
      <c r="I67" s="33" t="s">
        <v>295</v>
      </c>
      <c r="J67" s="10" t="s">
        <v>179</v>
      </c>
    </row>
    <row r="68" spans="1:12" x14ac:dyDescent="0.3">
      <c r="B68" s="10" t="s">
        <v>461</v>
      </c>
      <c r="C68" s="10" t="s">
        <v>463</v>
      </c>
      <c r="D68" s="10">
        <v>3</v>
      </c>
      <c r="I68" s="33" t="s">
        <v>295</v>
      </c>
      <c r="J68" s="10" t="s">
        <v>179</v>
      </c>
    </row>
    <row r="69" spans="1:12" x14ac:dyDescent="0.3">
      <c r="B69" s="10"/>
      <c r="C69" s="10"/>
      <c r="D69" s="10"/>
      <c r="H69" s="32" t="s">
        <v>81</v>
      </c>
      <c r="I69" s="33"/>
      <c r="J69" s="10"/>
    </row>
    <row r="70" spans="1:12" x14ac:dyDescent="0.3">
      <c r="B70" s="10" t="s">
        <v>61</v>
      </c>
      <c r="C70" s="10" t="s">
        <v>72</v>
      </c>
      <c r="D70" s="10">
        <v>2</v>
      </c>
      <c r="F70">
        <f>SUM(D70:E70)</f>
        <v>2</v>
      </c>
      <c r="I70" s="33" t="s">
        <v>92</v>
      </c>
      <c r="J70" s="10" t="s">
        <v>179</v>
      </c>
      <c r="L70" s="2" t="s">
        <v>591</v>
      </c>
    </row>
    <row r="71" spans="1:12" x14ac:dyDescent="0.3">
      <c r="B71" s="10" t="s">
        <v>62</v>
      </c>
      <c r="C71" s="10" t="s">
        <v>355</v>
      </c>
      <c r="D71" s="10">
        <v>3</v>
      </c>
      <c r="F71">
        <f t="shared" ref="F71:F75" si="7">SUM(D71:E71)</f>
        <v>3</v>
      </c>
      <c r="I71" s="33" t="s">
        <v>92</v>
      </c>
      <c r="J71" s="10" t="s">
        <v>179</v>
      </c>
      <c r="L71" s="2" t="s">
        <v>591</v>
      </c>
    </row>
    <row r="72" spans="1:12" x14ac:dyDescent="0.3">
      <c r="B72" s="10" t="s">
        <v>346</v>
      </c>
      <c r="C72" s="10" t="s">
        <v>356</v>
      </c>
      <c r="D72" s="10">
        <v>3</v>
      </c>
      <c r="F72">
        <f t="shared" si="7"/>
        <v>3</v>
      </c>
      <c r="I72" s="33" t="s">
        <v>295</v>
      </c>
      <c r="J72" s="10" t="s">
        <v>179</v>
      </c>
    </row>
    <row r="73" spans="1:12" x14ac:dyDescent="0.3">
      <c r="B73" s="10" t="s">
        <v>454</v>
      </c>
      <c r="C73" s="10" t="s">
        <v>455</v>
      </c>
      <c r="D73" s="10">
        <v>3</v>
      </c>
      <c r="F73">
        <f t="shared" si="7"/>
        <v>3</v>
      </c>
      <c r="I73" s="21" t="s">
        <v>437</v>
      </c>
      <c r="J73" s="10" t="s">
        <v>179</v>
      </c>
    </row>
    <row r="74" spans="1:12" x14ac:dyDescent="0.3">
      <c r="B74" s="10" t="s">
        <v>37</v>
      </c>
      <c r="C74" s="10" t="s">
        <v>465</v>
      </c>
      <c r="D74" s="10">
        <v>3</v>
      </c>
      <c r="E74" s="10"/>
      <c r="F74">
        <f t="shared" si="7"/>
        <v>3</v>
      </c>
      <c r="I74" s="33" t="s">
        <v>102</v>
      </c>
      <c r="J74" s="10" t="s">
        <v>179</v>
      </c>
    </row>
    <row r="75" spans="1:12" x14ac:dyDescent="0.3">
      <c r="B75" s="10" t="s">
        <v>464</v>
      </c>
      <c r="C75" s="10" t="s">
        <v>466</v>
      </c>
      <c r="D75" s="10">
        <v>2</v>
      </c>
      <c r="E75" s="10">
        <v>1</v>
      </c>
      <c r="F75">
        <f t="shared" si="7"/>
        <v>3</v>
      </c>
      <c r="I75" s="33" t="s">
        <v>295</v>
      </c>
      <c r="J75" s="10" t="s">
        <v>179</v>
      </c>
    </row>
    <row r="76" spans="1:12" s="17" customFormat="1" x14ac:dyDescent="0.3">
      <c r="A76" s="57" t="s">
        <v>73</v>
      </c>
      <c r="B76" s="57"/>
      <c r="C76" s="57"/>
      <c r="D76" s="18">
        <f>SUM(D70:D75)</f>
        <v>16</v>
      </c>
      <c r="E76" s="18">
        <v>1</v>
      </c>
      <c r="F76" s="18">
        <f>SUM(D76:E76)</f>
        <v>17</v>
      </c>
      <c r="G76" s="26"/>
      <c r="H76" s="29"/>
      <c r="I76" s="23"/>
      <c r="L76" s="29"/>
    </row>
    <row r="78" spans="1:12" x14ac:dyDescent="0.3">
      <c r="A78" s="38" t="s">
        <v>603</v>
      </c>
      <c r="B78" s="38"/>
    </row>
    <row r="79" spans="1:12" x14ac:dyDescent="0.3">
      <c r="A79" s="38" t="s">
        <v>608</v>
      </c>
      <c r="B79" s="38">
        <f>SUMIF(I1:I76,I74,F1:F76)</f>
        <v>11</v>
      </c>
    </row>
    <row r="80" spans="1:12" x14ac:dyDescent="0.3">
      <c r="A80" s="38" t="s">
        <v>618</v>
      </c>
      <c r="B80" s="38">
        <f>SUMIF(I1:I76,I72,F1:F76)</f>
        <v>42</v>
      </c>
    </row>
    <row r="81" spans="1:2" x14ac:dyDescent="0.3">
      <c r="A81" s="38" t="s">
        <v>620</v>
      </c>
      <c r="B81" s="38">
        <f>SUMIF(I1:I76,I32,F1:F76)</f>
        <v>42</v>
      </c>
    </row>
    <row r="82" spans="1:2" x14ac:dyDescent="0.3">
      <c r="A82" s="38" t="s">
        <v>92</v>
      </c>
      <c r="B82" s="38">
        <f>SUMIF(I1:I76,I70,F1:F76)</f>
        <v>55</v>
      </c>
    </row>
    <row r="83" spans="1:2" x14ac:dyDescent="0.3">
      <c r="A83" s="38" t="s">
        <v>610</v>
      </c>
      <c r="B83" s="38">
        <f>SUM(B79:B82)</f>
        <v>150</v>
      </c>
    </row>
    <row r="84" spans="1:2" x14ac:dyDescent="0.3">
      <c r="A84" s="38"/>
      <c r="B84" s="38"/>
    </row>
    <row r="85" spans="1:2" x14ac:dyDescent="0.3">
      <c r="A85" s="38"/>
      <c r="B85" s="38"/>
    </row>
    <row r="86" spans="1:2" x14ac:dyDescent="0.3">
      <c r="A86" s="38" t="s">
        <v>604</v>
      </c>
      <c r="B86" s="38"/>
    </row>
    <row r="87" spans="1:2" x14ac:dyDescent="0.3">
      <c r="A87" s="38" t="s">
        <v>605</v>
      </c>
      <c r="B87" s="38" t="s">
        <v>606</v>
      </c>
    </row>
    <row r="88" spans="1:2" x14ac:dyDescent="0.3">
      <c r="A88" s="38" t="s">
        <v>607</v>
      </c>
      <c r="B88" s="38" t="s">
        <v>606</v>
      </c>
    </row>
  </sheetData>
  <mergeCells count="12">
    <mergeCell ref="D1:F1"/>
    <mergeCell ref="A64:C64"/>
    <mergeCell ref="A76:C76"/>
    <mergeCell ref="A66:C66"/>
    <mergeCell ref="A53:C53"/>
    <mergeCell ref="A56:C56"/>
    <mergeCell ref="D2:F2"/>
    <mergeCell ref="A10:C10"/>
    <mergeCell ref="A19:C19"/>
    <mergeCell ref="A36:C36"/>
    <mergeCell ref="A27:C27"/>
    <mergeCell ref="A45:C4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topLeftCell="A70" workbookViewId="0">
      <selection activeCell="H93" sqref="H93"/>
    </sheetView>
  </sheetViews>
  <sheetFormatPr defaultRowHeight="14.4" x14ac:dyDescent="0.3"/>
  <cols>
    <col min="1" max="1" width="9.109375" style="38"/>
    <col min="2" max="2" width="12.109375" style="38" bestFit="1" customWidth="1"/>
    <col min="3" max="3" width="44.109375" style="38" bestFit="1" customWidth="1"/>
    <col min="4" max="4" width="16.5546875" style="38" customWidth="1"/>
    <col min="5" max="5" width="12.33203125" style="38" customWidth="1"/>
    <col min="6" max="6" width="19.5546875" style="38" customWidth="1"/>
    <col min="7" max="7" width="10.33203125" style="24" bestFit="1" customWidth="1"/>
    <col min="8" max="8" width="14.88671875" style="27" bestFit="1" customWidth="1"/>
    <col min="9" max="9" width="30.44140625" style="21" bestFit="1" customWidth="1"/>
    <col min="10" max="10" width="39.109375" style="38" bestFit="1" customWidth="1"/>
    <col min="11" max="11" width="5.6640625" bestFit="1" customWidth="1"/>
    <col min="12" max="12" width="158.88671875" style="32" bestFit="1" customWidth="1"/>
  </cols>
  <sheetData>
    <row r="1" spans="1:12" x14ac:dyDescent="0.3">
      <c r="A1" s="45" t="s">
        <v>0</v>
      </c>
      <c r="B1" s="45" t="s">
        <v>1</v>
      </c>
      <c r="C1" s="45" t="s">
        <v>2</v>
      </c>
      <c r="D1" s="59" t="s">
        <v>3</v>
      </c>
      <c r="E1" s="59"/>
      <c r="F1" s="59"/>
      <c r="G1" s="12" t="s">
        <v>4</v>
      </c>
      <c r="H1" s="13" t="s">
        <v>5</v>
      </c>
      <c r="I1" s="14" t="s">
        <v>6</v>
      </c>
      <c r="J1" s="45" t="s">
        <v>7</v>
      </c>
      <c r="K1" s="11" t="s">
        <v>8</v>
      </c>
      <c r="L1" s="13" t="s">
        <v>9</v>
      </c>
    </row>
    <row r="2" spans="1:12" x14ac:dyDescent="0.3">
      <c r="A2" s="45" t="s">
        <v>467</v>
      </c>
      <c r="B2" s="45" t="s">
        <v>10</v>
      </c>
      <c r="C2" s="45" t="s">
        <v>11</v>
      </c>
      <c r="D2" s="59" t="s">
        <v>12</v>
      </c>
      <c r="E2" s="59"/>
      <c r="F2" s="59"/>
      <c r="G2" s="12" t="s">
        <v>13</v>
      </c>
      <c r="H2" s="13" t="s">
        <v>14</v>
      </c>
      <c r="I2" s="14"/>
      <c r="J2" s="45"/>
      <c r="K2" s="11"/>
      <c r="L2" s="13"/>
    </row>
    <row r="3" spans="1:12" x14ac:dyDescent="0.3">
      <c r="A3" s="45"/>
      <c r="B3" s="45"/>
      <c r="C3" s="45"/>
      <c r="D3" s="45" t="s">
        <v>282</v>
      </c>
      <c r="E3" s="45" t="s">
        <v>283</v>
      </c>
      <c r="F3" s="45" t="s">
        <v>284</v>
      </c>
      <c r="G3" s="12"/>
      <c r="H3" s="13"/>
      <c r="I3" s="14"/>
      <c r="J3" s="45"/>
      <c r="K3" s="11"/>
      <c r="L3" s="13"/>
    </row>
    <row r="4" spans="1:12" x14ac:dyDescent="0.3">
      <c r="B4" s="38" t="s">
        <v>16</v>
      </c>
      <c r="C4" s="38" t="s">
        <v>87</v>
      </c>
      <c r="D4" s="38">
        <v>3</v>
      </c>
      <c r="F4" s="38">
        <f>SUM(D4:E4)</f>
        <v>3</v>
      </c>
      <c r="I4" s="21" t="s">
        <v>92</v>
      </c>
      <c r="J4" s="38" t="s">
        <v>179</v>
      </c>
      <c r="K4" s="19"/>
      <c r="L4" s="27"/>
    </row>
    <row r="5" spans="1:12" x14ac:dyDescent="0.3">
      <c r="B5" s="38" t="s">
        <v>17</v>
      </c>
      <c r="C5" s="38" t="s">
        <v>88</v>
      </c>
      <c r="D5" s="38">
        <v>3</v>
      </c>
      <c r="F5" s="38">
        <f t="shared" ref="F5:F9" si="0">SUM(D5:E5)</f>
        <v>3</v>
      </c>
      <c r="I5" s="21" t="s">
        <v>102</v>
      </c>
      <c r="J5" s="38" t="s">
        <v>179</v>
      </c>
      <c r="K5" s="19"/>
      <c r="L5" s="27"/>
    </row>
    <row r="6" spans="1:12" x14ac:dyDescent="0.3">
      <c r="B6" s="38" t="s">
        <v>433</v>
      </c>
      <c r="C6" s="38" t="s">
        <v>435</v>
      </c>
      <c r="D6" s="38">
        <v>3</v>
      </c>
      <c r="F6" s="38">
        <f t="shared" si="0"/>
        <v>3</v>
      </c>
      <c r="I6" s="21" t="s">
        <v>437</v>
      </c>
      <c r="J6" s="38" t="s">
        <v>179</v>
      </c>
      <c r="K6" s="19"/>
      <c r="L6" s="27"/>
    </row>
    <row r="7" spans="1:12" x14ac:dyDescent="0.3">
      <c r="B7" s="38" t="s">
        <v>434</v>
      </c>
      <c r="C7" s="38" t="s">
        <v>436</v>
      </c>
      <c r="D7" s="38">
        <v>3</v>
      </c>
      <c r="F7" s="38">
        <f t="shared" si="0"/>
        <v>3</v>
      </c>
      <c r="I7" s="21" t="s">
        <v>437</v>
      </c>
      <c r="J7" s="38" t="s">
        <v>179</v>
      </c>
      <c r="K7" s="19"/>
      <c r="L7" s="27"/>
    </row>
    <row r="8" spans="1:12" x14ac:dyDescent="0.3">
      <c r="B8" s="38" t="s">
        <v>468</v>
      </c>
      <c r="C8" s="38" t="s">
        <v>470</v>
      </c>
      <c r="D8" s="38">
        <v>3</v>
      </c>
      <c r="F8" s="38">
        <f t="shared" si="0"/>
        <v>3</v>
      </c>
      <c r="I8" s="21" t="s">
        <v>472</v>
      </c>
      <c r="J8" s="38" t="s">
        <v>179</v>
      </c>
      <c r="K8" s="19"/>
      <c r="L8" s="27"/>
    </row>
    <row r="9" spans="1:12" x14ac:dyDescent="0.3">
      <c r="B9" s="38" t="s">
        <v>469</v>
      </c>
      <c r="C9" s="38" t="s">
        <v>471</v>
      </c>
      <c r="D9" s="38">
        <v>2</v>
      </c>
      <c r="E9" s="38">
        <v>1</v>
      </c>
      <c r="F9" s="38">
        <f t="shared" si="0"/>
        <v>3</v>
      </c>
      <c r="I9" s="21" t="s">
        <v>472</v>
      </c>
      <c r="J9" s="38" t="s">
        <v>179</v>
      </c>
      <c r="K9" s="19"/>
      <c r="L9" s="27"/>
    </row>
    <row r="10" spans="1:12" s="17" customFormat="1" x14ac:dyDescent="0.3">
      <c r="A10" s="57" t="s">
        <v>73</v>
      </c>
      <c r="B10" s="57"/>
      <c r="C10" s="57"/>
      <c r="D10" s="36">
        <f>SUM(D4:D9)</f>
        <v>17</v>
      </c>
      <c r="E10" s="36">
        <v>1</v>
      </c>
      <c r="F10" s="36">
        <f>SUM(D10:E10)</f>
        <v>18</v>
      </c>
      <c r="G10" s="25"/>
      <c r="H10" s="28"/>
      <c r="I10" s="22"/>
      <c r="J10" s="36"/>
      <c r="K10" s="30"/>
      <c r="L10" s="28"/>
    </row>
    <row r="11" spans="1:12" x14ac:dyDescent="0.3">
      <c r="H11" s="27" t="s">
        <v>215</v>
      </c>
      <c r="K11" s="19"/>
      <c r="L11" s="27"/>
    </row>
    <row r="12" spans="1:12" x14ac:dyDescent="0.3">
      <c r="B12" s="38" t="s">
        <v>22</v>
      </c>
      <c r="C12" s="38" t="s">
        <v>95</v>
      </c>
      <c r="D12" s="38">
        <v>2</v>
      </c>
      <c r="F12" s="38">
        <f>SUM(D12:E12)</f>
        <v>2</v>
      </c>
      <c r="I12" s="21" t="s">
        <v>92</v>
      </c>
      <c r="J12" s="38" t="s">
        <v>179</v>
      </c>
      <c r="K12" s="19"/>
      <c r="L12" s="27"/>
    </row>
    <row r="13" spans="1:12" x14ac:dyDescent="0.3">
      <c r="B13" s="38" t="s">
        <v>23</v>
      </c>
      <c r="C13" s="38" t="s">
        <v>96</v>
      </c>
      <c r="D13" s="38">
        <v>2</v>
      </c>
      <c r="F13" s="38">
        <f t="shared" ref="F13:F18" si="1">SUM(D13:E13)</f>
        <v>2</v>
      </c>
      <c r="I13" s="21" t="s">
        <v>92</v>
      </c>
      <c r="J13" s="38" t="s">
        <v>179</v>
      </c>
      <c r="K13" s="19"/>
      <c r="L13" s="27" t="s">
        <v>592</v>
      </c>
    </row>
    <row r="14" spans="1:12" x14ac:dyDescent="0.3">
      <c r="B14" s="38" t="s">
        <v>439</v>
      </c>
      <c r="C14" s="38" t="s">
        <v>445</v>
      </c>
      <c r="D14" s="38">
        <v>3</v>
      </c>
      <c r="F14" s="38">
        <f t="shared" si="1"/>
        <v>3</v>
      </c>
      <c r="I14" s="21" t="s">
        <v>437</v>
      </c>
      <c r="J14" s="38" t="s">
        <v>179</v>
      </c>
      <c r="K14" s="19"/>
      <c r="L14" s="27"/>
    </row>
    <row r="15" spans="1:12" x14ac:dyDescent="0.3">
      <c r="B15" s="38" t="s">
        <v>440</v>
      </c>
      <c r="C15" s="38" t="s">
        <v>446</v>
      </c>
      <c r="D15" s="38">
        <v>3</v>
      </c>
      <c r="F15" s="38">
        <f t="shared" si="1"/>
        <v>3</v>
      </c>
      <c r="I15" s="21" t="s">
        <v>437</v>
      </c>
      <c r="J15" s="38" t="s">
        <v>179</v>
      </c>
      <c r="K15" s="19"/>
      <c r="L15" s="27"/>
    </row>
    <row r="16" spans="1:12" x14ac:dyDescent="0.3">
      <c r="B16" s="38" t="s">
        <v>474</v>
      </c>
      <c r="C16" s="38" t="s">
        <v>475</v>
      </c>
      <c r="D16" s="38">
        <v>2</v>
      </c>
      <c r="E16" s="38">
        <v>1</v>
      </c>
      <c r="F16" s="38">
        <f t="shared" si="1"/>
        <v>3</v>
      </c>
      <c r="I16" s="21" t="s">
        <v>472</v>
      </c>
      <c r="J16" s="38" t="s">
        <v>179</v>
      </c>
      <c r="K16" s="19"/>
      <c r="L16" s="27"/>
    </row>
    <row r="17" spans="1:12" x14ac:dyDescent="0.3">
      <c r="B17" s="38" t="s">
        <v>473</v>
      </c>
      <c r="C17" s="38" t="s">
        <v>476</v>
      </c>
      <c r="D17" s="38">
        <v>3</v>
      </c>
      <c r="F17" s="38">
        <f t="shared" si="1"/>
        <v>3</v>
      </c>
      <c r="I17" s="21" t="s">
        <v>472</v>
      </c>
      <c r="J17" s="38" t="s">
        <v>179</v>
      </c>
      <c r="K17" s="19"/>
      <c r="L17" s="27"/>
    </row>
    <row r="18" spans="1:12" x14ac:dyDescent="0.3">
      <c r="B18" s="38" t="s">
        <v>29</v>
      </c>
      <c r="C18" s="38" t="s">
        <v>447</v>
      </c>
      <c r="D18" s="38">
        <v>2</v>
      </c>
      <c r="F18" s="38">
        <f t="shared" si="1"/>
        <v>2</v>
      </c>
      <c r="I18" s="21" t="s">
        <v>92</v>
      </c>
      <c r="J18" s="38" t="s">
        <v>179</v>
      </c>
      <c r="K18" s="19"/>
      <c r="L18" s="27"/>
    </row>
    <row r="19" spans="1:12" s="17" customFormat="1" x14ac:dyDescent="0.3">
      <c r="A19" s="57" t="s">
        <v>73</v>
      </c>
      <c r="B19" s="57"/>
      <c r="C19" s="57"/>
      <c r="D19" s="36">
        <f>SUM(D12:D18)</f>
        <v>17</v>
      </c>
      <c r="E19" s="36">
        <v>1</v>
      </c>
      <c r="F19" s="36">
        <f>SUM(D19:E19)</f>
        <v>18</v>
      </c>
      <c r="G19" s="25"/>
      <c r="H19" s="28"/>
      <c r="I19" s="22"/>
      <c r="J19" s="36"/>
      <c r="K19" s="30"/>
      <c r="L19" s="28"/>
    </row>
    <row r="20" spans="1:12" x14ac:dyDescent="0.3">
      <c r="G20" s="24" t="s">
        <v>136</v>
      </c>
      <c r="H20" s="27" t="s">
        <v>14</v>
      </c>
      <c r="K20" s="19"/>
      <c r="L20" s="27"/>
    </row>
    <row r="21" spans="1:12" x14ac:dyDescent="0.3">
      <c r="B21" s="38" t="s">
        <v>30</v>
      </c>
      <c r="C21" s="38" t="s">
        <v>103</v>
      </c>
      <c r="D21" s="38">
        <v>3</v>
      </c>
      <c r="F21" s="38">
        <f>SUM(D21:E21)</f>
        <v>3</v>
      </c>
      <c r="I21" s="21" t="s">
        <v>92</v>
      </c>
      <c r="J21" s="38" t="s">
        <v>179</v>
      </c>
      <c r="K21" s="19"/>
      <c r="L21" s="27" t="s">
        <v>594</v>
      </c>
    </row>
    <row r="22" spans="1:12" x14ac:dyDescent="0.3">
      <c r="B22" s="38" t="s">
        <v>31</v>
      </c>
      <c r="C22" s="38" t="s">
        <v>406</v>
      </c>
      <c r="D22" s="38">
        <v>3</v>
      </c>
      <c r="F22" s="38">
        <f t="shared" ref="F22:F26" si="2">SUM(D22:E22)</f>
        <v>3</v>
      </c>
      <c r="I22" s="21" t="s">
        <v>92</v>
      </c>
      <c r="J22" s="38" t="s">
        <v>179</v>
      </c>
      <c r="K22" s="19"/>
      <c r="L22" s="27"/>
    </row>
    <row r="23" spans="1:12" x14ac:dyDescent="0.3">
      <c r="B23" s="38" t="s">
        <v>441</v>
      </c>
      <c r="C23" s="38" t="s">
        <v>448</v>
      </c>
      <c r="D23" s="38">
        <v>3</v>
      </c>
      <c r="F23" s="38">
        <f t="shared" si="2"/>
        <v>3</v>
      </c>
      <c r="I23" s="21" t="s">
        <v>437</v>
      </c>
      <c r="J23" s="38" t="s">
        <v>179</v>
      </c>
      <c r="K23" s="19"/>
      <c r="L23" s="27"/>
    </row>
    <row r="24" spans="1:12" x14ac:dyDescent="0.3">
      <c r="B24" s="38" t="s">
        <v>442</v>
      </c>
      <c r="C24" s="38" t="s">
        <v>449</v>
      </c>
      <c r="D24" s="38">
        <v>3</v>
      </c>
      <c r="F24" s="38">
        <f t="shared" si="2"/>
        <v>3</v>
      </c>
      <c r="I24" s="21" t="s">
        <v>437</v>
      </c>
      <c r="J24" s="38" t="s">
        <v>179</v>
      </c>
      <c r="K24" s="19"/>
      <c r="L24" s="27"/>
    </row>
    <row r="25" spans="1:12" x14ac:dyDescent="0.3">
      <c r="B25" s="38" t="s">
        <v>477</v>
      </c>
      <c r="C25" s="38" t="s">
        <v>479</v>
      </c>
      <c r="D25" s="38">
        <v>2</v>
      </c>
      <c r="E25" s="38">
        <v>1</v>
      </c>
      <c r="F25" s="38">
        <f t="shared" si="2"/>
        <v>3</v>
      </c>
      <c r="I25" s="21" t="s">
        <v>472</v>
      </c>
      <c r="J25" s="38" t="s">
        <v>179</v>
      </c>
      <c r="K25" s="19"/>
      <c r="L25" s="27"/>
    </row>
    <row r="26" spans="1:12" x14ac:dyDescent="0.3">
      <c r="B26" s="38" t="s">
        <v>478</v>
      </c>
      <c r="C26" s="38" t="s">
        <v>480</v>
      </c>
      <c r="D26" s="38">
        <v>2</v>
      </c>
      <c r="E26" s="38">
        <v>1</v>
      </c>
      <c r="F26" s="38">
        <f t="shared" si="2"/>
        <v>3</v>
      </c>
      <c r="I26" s="21" t="s">
        <v>472</v>
      </c>
      <c r="J26" s="38" t="s">
        <v>179</v>
      </c>
      <c r="K26" s="19"/>
      <c r="L26" s="27"/>
    </row>
    <row r="27" spans="1:12" s="17" customFormat="1" x14ac:dyDescent="0.3">
      <c r="A27" s="57" t="s">
        <v>73</v>
      </c>
      <c r="B27" s="57"/>
      <c r="C27" s="57"/>
      <c r="D27" s="36">
        <f>SUM(D21:D26)</f>
        <v>16</v>
      </c>
      <c r="E27" s="36">
        <v>2</v>
      </c>
      <c r="F27" s="36">
        <f>SUM(D27:E27)</f>
        <v>18</v>
      </c>
      <c r="G27" s="25"/>
      <c r="H27" s="28"/>
      <c r="I27" s="22"/>
      <c r="J27" s="36"/>
      <c r="K27" s="30"/>
      <c r="L27" s="28"/>
    </row>
    <row r="28" spans="1:12" x14ac:dyDescent="0.3">
      <c r="H28" s="27" t="s">
        <v>215</v>
      </c>
      <c r="K28" s="19"/>
      <c r="L28" s="27"/>
    </row>
    <row r="29" spans="1:12" x14ac:dyDescent="0.3">
      <c r="B29" s="38" t="s">
        <v>35</v>
      </c>
      <c r="C29" s="38" t="s">
        <v>110</v>
      </c>
      <c r="D29" s="38">
        <v>3</v>
      </c>
      <c r="F29" s="38">
        <f>SUM(D29:E29)</f>
        <v>3</v>
      </c>
      <c r="I29" s="21" t="s">
        <v>92</v>
      </c>
      <c r="J29" s="38" t="s">
        <v>179</v>
      </c>
      <c r="K29" s="19"/>
      <c r="L29" s="27" t="s">
        <v>595</v>
      </c>
    </row>
    <row r="30" spans="1:12" x14ac:dyDescent="0.3">
      <c r="B30" s="38" t="s">
        <v>36</v>
      </c>
      <c r="C30" s="38" t="s">
        <v>316</v>
      </c>
      <c r="D30" s="38">
        <v>3</v>
      </c>
      <c r="F30" s="38">
        <f t="shared" ref="F30:F35" si="3">SUM(D30:E30)</f>
        <v>3</v>
      </c>
      <c r="I30" s="21" t="s">
        <v>92</v>
      </c>
      <c r="J30" s="38" t="s">
        <v>179</v>
      </c>
      <c r="K30" s="19"/>
      <c r="L30" s="27"/>
    </row>
    <row r="31" spans="1:12" x14ac:dyDescent="0.3">
      <c r="B31" s="38" t="s">
        <v>443</v>
      </c>
      <c r="C31" s="38" t="s">
        <v>450</v>
      </c>
      <c r="D31" s="38">
        <v>3</v>
      </c>
      <c r="F31" s="38">
        <f t="shared" si="3"/>
        <v>3</v>
      </c>
      <c r="I31" s="21" t="s">
        <v>437</v>
      </c>
      <c r="J31" s="38" t="s">
        <v>179</v>
      </c>
      <c r="K31" s="19"/>
      <c r="L31" s="27"/>
    </row>
    <row r="32" spans="1:12" x14ac:dyDescent="0.3">
      <c r="B32" s="38" t="s">
        <v>444</v>
      </c>
      <c r="C32" s="38" t="s">
        <v>451</v>
      </c>
      <c r="D32" s="38">
        <v>3</v>
      </c>
      <c r="F32" s="38">
        <f t="shared" si="3"/>
        <v>3</v>
      </c>
      <c r="I32" s="21" t="s">
        <v>437</v>
      </c>
      <c r="J32" s="38" t="s">
        <v>179</v>
      </c>
      <c r="K32" s="19"/>
      <c r="L32" s="27"/>
    </row>
    <row r="33" spans="1:12" x14ac:dyDescent="0.3">
      <c r="B33" s="38" t="s">
        <v>481</v>
      </c>
      <c r="C33" s="38" t="s">
        <v>482</v>
      </c>
      <c r="D33" s="38">
        <v>3</v>
      </c>
      <c r="F33" s="38">
        <f t="shared" si="3"/>
        <v>3</v>
      </c>
      <c r="I33" s="21" t="s">
        <v>472</v>
      </c>
      <c r="J33" s="38" t="s">
        <v>179</v>
      </c>
      <c r="K33" s="19"/>
      <c r="L33" s="27"/>
    </row>
    <row r="34" spans="1:12" x14ac:dyDescent="0.3">
      <c r="B34" s="38" t="s">
        <v>24</v>
      </c>
      <c r="C34" s="38" t="s">
        <v>142</v>
      </c>
      <c r="D34" s="38">
        <v>1</v>
      </c>
      <c r="F34" s="38">
        <f t="shared" si="3"/>
        <v>1</v>
      </c>
      <c r="I34" s="21" t="s">
        <v>102</v>
      </c>
      <c r="J34" s="38" t="s">
        <v>179</v>
      </c>
      <c r="K34" s="19"/>
      <c r="L34" s="27"/>
    </row>
    <row r="35" spans="1:12" x14ac:dyDescent="0.3">
      <c r="B35" s="38" t="s">
        <v>25</v>
      </c>
      <c r="C35" s="38" t="s">
        <v>171</v>
      </c>
      <c r="D35" s="38">
        <v>2</v>
      </c>
      <c r="F35" s="38">
        <f t="shared" si="3"/>
        <v>2</v>
      </c>
      <c r="I35" s="21" t="s">
        <v>102</v>
      </c>
      <c r="J35" s="38" t="s">
        <v>179</v>
      </c>
      <c r="K35" s="19"/>
      <c r="L35" s="27"/>
    </row>
    <row r="36" spans="1:12" s="17" customFormat="1" x14ac:dyDescent="0.3">
      <c r="A36" s="57" t="s">
        <v>73</v>
      </c>
      <c r="B36" s="57"/>
      <c r="C36" s="57"/>
      <c r="D36" s="36">
        <f>SUM(D29:D35)</f>
        <v>18</v>
      </c>
      <c r="E36" s="36"/>
      <c r="F36" s="36"/>
      <c r="G36" s="25"/>
      <c r="H36" s="28"/>
      <c r="I36" s="22"/>
      <c r="J36" s="36"/>
      <c r="K36" s="30"/>
      <c r="L36" s="28"/>
    </row>
    <row r="37" spans="1:12" x14ac:dyDescent="0.3">
      <c r="G37" s="24" t="s">
        <v>84</v>
      </c>
      <c r="H37" s="27" t="s">
        <v>14</v>
      </c>
      <c r="K37" s="19"/>
      <c r="L37" s="27"/>
    </row>
    <row r="38" spans="1:12" x14ac:dyDescent="0.3">
      <c r="B38" s="38" t="s">
        <v>41</v>
      </c>
      <c r="C38" s="38" t="s">
        <v>330</v>
      </c>
      <c r="D38" s="38">
        <v>3</v>
      </c>
      <c r="F38" s="38">
        <f>SUM(D38:E38)</f>
        <v>3</v>
      </c>
      <c r="I38" s="21" t="s">
        <v>92</v>
      </c>
      <c r="J38" s="38" t="s">
        <v>179</v>
      </c>
      <c r="K38" s="19"/>
      <c r="L38" s="27" t="s">
        <v>596</v>
      </c>
    </row>
    <row r="39" spans="1:12" x14ac:dyDescent="0.3">
      <c r="B39" s="38" t="s">
        <v>42</v>
      </c>
      <c r="C39" s="38" t="s">
        <v>329</v>
      </c>
      <c r="D39" s="38">
        <v>3</v>
      </c>
      <c r="F39" s="38">
        <f t="shared" ref="F39:F44" si="4">SUM(D39:E39)</f>
        <v>3</v>
      </c>
      <c r="I39" s="21" t="s">
        <v>92</v>
      </c>
      <c r="J39" s="38" t="s">
        <v>179</v>
      </c>
      <c r="K39" s="19"/>
      <c r="L39" s="27" t="s">
        <v>598</v>
      </c>
    </row>
    <row r="40" spans="1:12" x14ac:dyDescent="0.3">
      <c r="B40" s="38" t="s">
        <v>58</v>
      </c>
      <c r="C40" s="38" t="s">
        <v>456</v>
      </c>
      <c r="D40" s="38">
        <v>2</v>
      </c>
      <c r="F40" s="38">
        <f t="shared" si="4"/>
        <v>2</v>
      </c>
      <c r="I40" s="21" t="s">
        <v>92</v>
      </c>
      <c r="J40" s="38" t="s">
        <v>179</v>
      </c>
      <c r="K40" s="19"/>
      <c r="L40" s="27"/>
    </row>
    <row r="41" spans="1:12" x14ac:dyDescent="0.3">
      <c r="B41" s="38" t="s">
        <v>60</v>
      </c>
      <c r="C41" s="38" t="s">
        <v>327</v>
      </c>
      <c r="D41" s="38">
        <v>2</v>
      </c>
      <c r="F41" s="38">
        <f t="shared" si="4"/>
        <v>2</v>
      </c>
      <c r="I41" s="21" t="s">
        <v>102</v>
      </c>
      <c r="J41" s="38" t="s">
        <v>179</v>
      </c>
      <c r="K41" s="19"/>
      <c r="L41" s="27"/>
    </row>
    <row r="42" spans="1:12" x14ac:dyDescent="0.3">
      <c r="B42" s="38" t="s">
        <v>452</v>
      </c>
      <c r="C42" s="38" t="s">
        <v>455</v>
      </c>
      <c r="D42" s="38">
        <v>3</v>
      </c>
      <c r="F42" s="38">
        <f t="shared" si="4"/>
        <v>3</v>
      </c>
      <c r="I42" s="21" t="s">
        <v>437</v>
      </c>
      <c r="J42" s="38" t="s">
        <v>179</v>
      </c>
      <c r="K42" s="19"/>
      <c r="L42" s="27"/>
    </row>
    <row r="43" spans="1:12" x14ac:dyDescent="0.3">
      <c r="B43" s="38" t="s">
        <v>483</v>
      </c>
      <c r="C43" s="38" t="s">
        <v>484</v>
      </c>
      <c r="D43" s="38">
        <v>3</v>
      </c>
      <c r="F43" s="38">
        <f t="shared" si="4"/>
        <v>3</v>
      </c>
      <c r="I43" s="21" t="s">
        <v>472</v>
      </c>
      <c r="J43" s="38" t="s">
        <v>179</v>
      </c>
      <c r="K43" s="19"/>
      <c r="L43" s="27"/>
    </row>
    <row r="44" spans="1:12" x14ac:dyDescent="0.3">
      <c r="B44" s="38" t="s">
        <v>452</v>
      </c>
      <c r="C44" s="38" t="s">
        <v>455</v>
      </c>
      <c r="D44" s="38">
        <v>3</v>
      </c>
      <c r="F44" s="38">
        <f t="shared" si="4"/>
        <v>3</v>
      </c>
      <c r="I44" s="21" t="s">
        <v>437</v>
      </c>
      <c r="J44" s="38" t="s">
        <v>179</v>
      </c>
      <c r="K44" s="19"/>
      <c r="L44" s="27"/>
    </row>
    <row r="45" spans="1:12" s="17" customFormat="1" x14ac:dyDescent="0.3">
      <c r="A45" s="57" t="s">
        <v>73</v>
      </c>
      <c r="B45" s="57"/>
      <c r="C45" s="57"/>
      <c r="D45" s="36">
        <f>SUM(D38:D44)</f>
        <v>19</v>
      </c>
      <c r="E45" s="36"/>
      <c r="F45" s="36"/>
      <c r="G45" s="25"/>
      <c r="H45" s="28"/>
      <c r="I45" s="22"/>
      <c r="J45" s="36"/>
      <c r="K45" s="30"/>
      <c r="L45" s="28"/>
    </row>
    <row r="46" spans="1:12" x14ac:dyDescent="0.3">
      <c r="H46" s="27" t="s">
        <v>215</v>
      </c>
      <c r="K46" s="19"/>
      <c r="L46" s="27"/>
    </row>
    <row r="47" spans="1:12" x14ac:dyDescent="0.3">
      <c r="B47" s="38" t="s">
        <v>453</v>
      </c>
      <c r="C47" s="38" t="s">
        <v>457</v>
      </c>
      <c r="D47" s="38">
        <v>3</v>
      </c>
      <c r="F47" s="38">
        <f>SUM(D47:E47)</f>
        <v>3</v>
      </c>
      <c r="I47" s="21" t="s">
        <v>92</v>
      </c>
      <c r="J47" s="38" t="s">
        <v>179</v>
      </c>
      <c r="K47" s="19"/>
      <c r="L47" s="27" t="s">
        <v>600</v>
      </c>
    </row>
    <row r="48" spans="1:12" x14ac:dyDescent="0.3">
      <c r="B48" s="38" t="s">
        <v>485</v>
      </c>
      <c r="C48" s="38" t="s">
        <v>486</v>
      </c>
      <c r="D48" s="38">
        <v>3</v>
      </c>
      <c r="F48" s="38">
        <f t="shared" ref="F48:F52" si="5">SUM(D48:E48)</f>
        <v>3</v>
      </c>
      <c r="I48" s="21" t="s">
        <v>92</v>
      </c>
      <c r="J48" s="38" t="s">
        <v>179</v>
      </c>
      <c r="K48" s="19"/>
      <c r="L48" s="27" t="s">
        <v>600</v>
      </c>
    </row>
    <row r="49" spans="1:12" x14ac:dyDescent="0.3">
      <c r="B49" s="38" t="s">
        <v>49</v>
      </c>
      <c r="C49" s="38" t="s">
        <v>338</v>
      </c>
      <c r="D49" s="38">
        <v>3</v>
      </c>
      <c r="F49" s="38">
        <f t="shared" si="5"/>
        <v>3</v>
      </c>
      <c r="I49" s="21" t="s">
        <v>92</v>
      </c>
      <c r="J49" s="38" t="s">
        <v>179</v>
      </c>
      <c r="K49" s="19"/>
      <c r="L49" s="27" t="s">
        <v>597</v>
      </c>
    </row>
    <row r="50" spans="1:12" x14ac:dyDescent="0.3">
      <c r="B50" s="38" t="s">
        <v>452</v>
      </c>
      <c r="C50" s="38" t="s">
        <v>455</v>
      </c>
      <c r="D50" s="38">
        <v>3</v>
      </c>
      <c r="F50" s="38">
        <f t="shared" si="5"/>
        <v>3</v>
      </c>
      <c r="I50" s="21" t="s">
        <v>437</v>
      </c>
      <c r="J50" s="38" t="s">
        <v>179</v>
      </c>
      <c r="K50" s="19"/>
      <c r="L50" s="27"/>
    </row>
    <row r="51" spans="1:12" x14ac:dyDescent="0.3">
      <c r="B51" s="38" t="s">
        <v>487</v>
      </c>
      <c r="C51" s="38" t="s">
        <v>489</v>
      </c>
      <c r="D51" s="38">
        <v>2</v>
      </c>
      <c r="E51" s="38">
        <v>1</v>
      </c>
      <c r="F51" s="38">
        <f t="shared" si="5"/>
        <v>3</v>
      </c>
      <c r="I51" s="21" t="s">
        <v>472</v>
      </c>
      <c r="J51" s="38" t="s">
        <v>179</v>
      </c>
      <c r="K51" s="19"/>
      <c r="L51" s="27"/>
    </row>
    <row r="52" spans="1:12" x14ac:dyDescent="0.3">
      <c r="B52" s="38" t="s">
        <v>488</v>
      </c>
      <c r="C52" s="38" t="s">
        <v>490</v>
      </c>
      <c r="D52" s="38">
        <v>3</v>
      </c>
      <c r="F52" s="38">
        <f t="shared" si="5"/>
        <v>3</v>
      </c>
      <c r="I52" s="21" t="s">
        <v>472</v>
      </c>
      <c r="J52" s="38" t="s">
        <v>179</v>
      </c>
      <c r="K52" s="19"/>
      <c r="L52" s="27"/>
    </row>
    <row r="53" spans="1:12" s="17" customFormat="1" x14ac:dyDescent="0.3">
      <c r="A53" s="57" t="s">
        <v>73</v>
      </c>
      <c r="B53" s="57"/>
      <c r="C53" s="57"/>
      <c r="D53" s="36">
        <f>SUM(D47:D52)</f>
        <v>17</v>
      </c>
      <c r="E53" s="36">
        <v>1</v>
      </c>
      <c r="F53" s="36">
        <f>SUM(D53:E53)</f>
        <v>18</v>
      </c>
      <c r="G53" s="25"/>
      <c r="H53" s="28"/>
      <c r="I53" s="22"/>
      <c r="J53" s="36"/>
      <c r="K53" s="30"/>
      <c r="L53" s="28"/>
    </row>
    <row r="54" spans="1:12" x14ac:dyDescent="0.3">
      <c r="H54" s="27" t="s">
        <v>85</v>
      </c>
      <c r="K54" s="19"/>
      <c r="L54" s="27"/>
    </row>
    <row r="55" spans="1:12" x14ac:dyDescent="0.3">
      <c r="B55" s="38" t="s">
        <v>53</v>
      </c>
      <c r="C55" s="38" t="s">
        <v>126</v>
      </c>
      <c r="D55" s="38">
        <v>6</v>
      </c>
      <c r="F55" s="38">
        <f>SUM(D55)</f>
        <v>6</v>
      </c>
      <c r="I55" s="21" t="s">
        <v>92</v>
      </c>
      <c r="J55" s="38" t="s">
        <v>179</v>
      </c>
      <c r="K55" s="19"/>
      <c r="L55" s="27" t="s">
        <v>599</v>
      </c>
    </row>
    <row r="56" spans="1:12" s="17" customFormat="1" x14ac:dyDescent="0.3">
      <c r="A56" s="57" t="s">
        <v>73</v>
      </c>
      <c r="B56" s="57"/>
      <c r="C56" s="57"/>
      <c r="D56" s="36">
        <f>SUM(D55)</f>
        <v>6</v>
      </c>
      <c r="E56" s="36"/>
      <c r="F56" s="36"/>
      <c r="G56" s="25"/>
      <c r="H56" s="28"/>
      <c r="I56" s="22"/>
      <c r="J56" s="36"/>
      <c r="K56" s="30"/>
      <c r="L56" s="28"/>
    </row>
    <row r="57" spans="1:12" x14ac:dyDescent="0.3">
      <c r="G57" s="24" t="s">
        <v>158</v>
      </c>
      <c r="H57" s="27" t="s">
        <v>159</v>
      </c>
      <c r="K57" s="19"/>
      <c r="L57" s="27"/>
    </row>
    <row r="58" spans="1:12" x14ac:dyDescent="0.3">
      <c r="B58" s="38" t="s">
        <v>54</v>
      </c>
      <c r="C58" s="38" t="s">
        <v>80</v>
      </c>
      <c r="D58" s="38">
        <v>3</v>
      </c>
      <c r="F58" s="38">
        <f>SUM(D58:E58)</f>
        <v>3</v>
      </c>
      <c r="I58" s="21" t="s">
        <v>92</v>
      </c>
      <c r="J58" s="38" t="s">
        <v>179</v>
      </c>
      <c r="K58" s="19"/>
      <c r="L58" s="27" t="s">
        <v>591</v>
      </c>
    </row>
    <row r="59" spans="1:12" x14ac:dyDescent="0.3">
      <c r="B59" s="38" t="s">
        <v>55</v>
      </c>
      <c r="C59" s="38" t="s">
        <v>350</v>
      </c>
      <c r="D59" s="38">
        <v>3</v>
      </c>
      <c r="F59" s="38">
        <f t="shared" ref="F59:F63" si="6">SUM(D59:E59)</f>
        <v>3</v>
      </c>
      <c r="I59" s="21" t="s">
        <v>92</v>
      </c>
      <c r="J59" s="38" t="s">
        <v>179</v>
      </c>
      <c r="K59" s="19"/>
      <c r="L59" s="27" t="s">
        <v>591</v>
      </c>
    </row>
    <row r="60" spans="1:12" x14ac:dyDescent="0.3">
      <c r="B60" s="38" t="s">
        <v>452</v>
      </c>
      <c r="C60" s="38" t="s">
        <v>455</v>
      </c>
      <c r="D60" s="38">
        <v>3</v>
      </c>
      <c r="F60" s="38">
        <f t="shared" si="6"/>
        <v>3</v>
      </c>
      <c r="I60" s="21" t="s">
        <v>437</v>
      </c>
      <c r="J60" s="38" t="s">
        <v>179</v>
      </c>
      <c r="K60" s="19"/>
      <c r="L60" s="27"/>
    </row>
    <row r="61" spans="1:12" x14ac:dyDescent="0.3">
      <c r="B61" s="38" t="s">
        <v>452</v>
      </c>
      <c r="C61" s="38" t="s">
        <v>455</v>
      </c>
      <c r="D61" s="38">
        <v>3</v>
      </c>
      <c r="F61" s="38">
        <f t="shared" si="6"/>
        <v>3</v>
      </c>
      <c r="I61" s="21" t="s">
        <v>437</v>
      </c>
      <c r="J61" s="38" t="s">
        <v>179</v>
      </c>
      <c r="K61" s="19"/>
      <c r="L61" s="27"/>
    </row>
    <row r="62" spans="1:12" x14ac:dyDescent="0.3">
      <c r="B62" s="38" t="s">
        <v>491</v>
      </c>
      <c r="C62" s="38" t="s">
        <v>493</v>
      </c>
      <c r="D62" s="38">
        <v>3</v>
      </c>
      <c r="F62" s="38">
        <f t="shared" si="6"/>
        <v>3</v>
      </c>
      <c r="I62" s="21" t="s">
        <v>472</v>
      </c>
      <c r="J62" s="38" t="s">
        <v>179</v>
      </c>
      <c r="K62" s="19"/>
      <c r="L62" s="27"/>
    </row>
    <row r="63" spans="1:12" x14ac:dyDescent="0.3">
      <c r="B63" s="38" t="s">
        <v>492</v>
      </c>
      <c r="C63" s="38" t="s">
        <v>494</v>
      </c>
      <c r="D63" s="38">
        <v>3</v>
      </c>
      <c r="F63" s="38">
        <f t="shared" si="6"/>
        <v>3</v>
      </c>
      <c r="I63" s="21" t="s">
        <v>472</v>
      </c>
      <c r="J63" s="38" t="s">
        <v>179</v>
      </c>
      <c r="K63" s="19"/>
      <c r="L63" s="27"/>
    </row>
    <row r="64" spans="1:12" s="17" customFormat="1" x14ac:dyDescent="0.3">
      <c r="A64" s="57" t="s">
        <v>73</v>
      </c>
      <c r="B64" s="57"/>
      <c r="C64" s="57"/>
      <c r="D64" s="36">
        <f>SUM(D58:D63)</f>
        <v>18</v>
      </c>
      <c r="E64" s="36"/>
      <c r="F64" s="36"/>
      <c r="G64" s="25"/>
      <c r="H64" s="28"/>
      <c r="I64" s="22"/>
      <c r="J64" s="36"/>
      <c r="K64" s="30"/>
      <c r="L64" s="28"/>
    </row>
    <row r="66" spans="1:12" x14ac:dyDescent="0.3">
      <c r="A66" s="60" t="s">
        <v>459</v>
      </c>
      <c r="B66" s="60"/>
      <c r="C66" s="60"/>
    </row>
    <row r="67" spans="1:12" x14ac:dyDescent="0.3">
      <c r="B67" s="38" t="s">
        <v>495</v>
      </c>
      <c r="C67" s="38" t="s">
        <v>497</v>
      </c>
      <c r="D67" s="38">
        <v>3</v>
      </c>
      <c r="I67" s="21" t="s">
        <v>472</v>
      </c>
      <c r="J67" s="38" t="s">
        <v>179</v>
      </c>
    </row>
    <row r="68" spans="1:12" x14ac:dyDescent="0.3">
      <c r="B68" s="38" t="s">
        <v>496</v>
      </c>
      <c r="C68" s="38" t="s">
        <v>498</v>
      </c>
      <c r="D68" s="38">
        <v>3</v>
      </c>
      <c r="I68" s="21" t="s">
        <v>472</v>
      </c>
      <c r="J68" s="38" t="s">
        <v>179</v>
      </c>
    </row>
    <row r="69" spans="1:12" x14ac:dyDescent="0.3">
      <c r="H69" s="27" t="s">
        <v>81</v>
      </c>
    </row>
    <row r="70" spans="1:12" x14ac:dyDescent="0.3">
      <c r="B70" s="38" t="s">
        <v>61</v>
      </c>
      <c r="C70" s="38" t="s">
        <v>72</v>
      </c>
      <c r="D70" s="38">
        <v>2</v>
      </c>
      <c r="F70" s="38">
        <f>SUM(D70:E70)</f>
        <v>2</v>
      </c>
      <c r="I70" s="21" t="s">
        <v>92</v>
      </c>
      <c r="J70" s="38" t="s">
        <v>179</v>
      </c>
      <c r="L70" s="32" t="s">
        <v>591</v>
      </c>
    </row>
    <row r="71" spans="1:12" x14ac:dyDescent="0.3">
      <c r="B71" s="38" t="s">
        <v>62</v>
      </c>
      <c r="C71" s="38" t="s">
        <v>355</v>
      </c>
      <c r="D71" s="38">
        <v>3</v>
      </c>
      <c r="F71" s="38">
        <f t="shared" ref="F71:F75" si="7">SUM(D71:E71)</f>
        <v>3</v>
      </c>
      <c r="I71" s="21" t="s">
        <v>92</v>
      </c>
      <c r="J71" s="38" t="s">
        <v>179</v>
      </c>
      <c r="L71" s="32" t="s">
        <v>591</v>
      </c>
    </row>
    <row r="72" spans="1:12" x14ac:dyDescent="0.3">
      <c r="B72" s="38" t="s">
        <v>454</v>
      </c>
      <c r="C72" s="38" t="s">
        <v>455</v>
      </c>
      <c r="D72" s="38">
        <v>3</v>
      </c>
      <c r="F72" s="38">
        <f t="shared" si="7"/>
        <v>3</v>
      </c>
      <c r="I72" s="21" t="s">
        <v>437</v>
      </c>
      <c r="J72" s="38" t="s">
        <v>179</v>
      </c>
    </row>
    <row r="73" spans="1:12" x14ac:dyDescent="0.3">
      <c r="B73" s="38" t="s">
        <v>499</v>
      </c>
      <c r="C73" s="38" t="s">
        <v>500</v>
      </c>
      <c r="D73" s="38">
        <v>3</v>
      </c>
      <c r="F73" s="38">
        <f t="shared" si="7"/>
        <v>3</v>
      </c>
      <c r="I73" s="21" t="s">
        <v>472</v>
      </c>
      <c r="J73" s="38" t="s">
        <v>179</v>
      </c>
    </row>
    <row r="74" spans="1:12" x14ac:dyDescent="0.3">
      <c r="B74" s="38" t="s">
        <v>37</v>
      </c>
      <c r="C74" s="38" t="s">
        <v>465</v>
      </c>
      <c r="D74" s="38">
        <v>3</v>
      </c>
      <c r="F74" s="38">
        <f t="shared" si="7"/>
        <v>3</v>
      </c>
      <c r="I74" s="21" t="s">
        <v>102</v>
      </c>
      <c r="J74" s="38" t="s">
        <v>179</v>
      </c>
    </row>
    <row r="75" spans="1:12" x14ac:dyDescent="0.3">
      <c r="B75" s="38" t="s">
        <v>549</v>
      </c>
      <c r="C75" s="38" t="s">
        <v>501</v>
      </c>
      <c r="D75" s="38">
        <v>3</v>
      </c>
      <c r="F75" s="38">
        <f t="shared" si="7"/>
        <v>3</v>
      </c>
      <c r="I75" s="21" t="s">
        <v>472</v>
      </c>
      <c r="J75" s="38" t="s">
        <v>179</v>
      </c>
    </row>
    <row r="76" spans="1:12" s="17" customFormat="1" x14ac:dyDescent="0.3">
      <c r="A76" s="55" t="s">
        <v>73</v>
      </c>
      <c r="B76" s="55"/>
      <c r="C76" s="55"/>
      <c r="D76" s="36">
        <f>SUM(D70:D75)</f>
        <v>17</v>
      </c>
      <c r="E76" s="36"/>
      <c r="F76" s="36"/>
      <c r="G76" s="25"/>
      <c r="H76" s="28"/>
      <c r="I76" s="22"/>
      <c r="J76" s="36"/>
      <c r="L76" s="39"/>
    </row>
    <row r="78" spans="1:12" x14ac:dyDescent="0.3">
      <c r="A78" s="38" t="s">
        <v>603</v>
      </c>
    </row>
    <row r="79" spans="1:12" x14ac:dyDescent="0.3">
      <c r="A79" s="38" t="s">
        <v>608</v>
      </c>
      <c r="B79" s="38">
        <f>SUMIF(I1:I76,I74,F1:F76)</f>
        <v>11</v>
      </c>
    </row>
    <row r="80" spans="1:12" x14ac:dyDescent="0.3">
      <c r="A80" s="38" t="s">
        <v>620</v>
      </c>
      <c r="B80" s="38">
        <f>SUMIF(I1:I76,I31,F1:F76)</f>
        <v>42</v>
      </c>
    </row>
    <row r="81" spans="1:2" x14ac:dyDescent="0.3">
      <c r="A81" s="38" t="s">
        <v>621</v>
      </c>
      <c r="B81" s="38">
        <f>SUMIF(I1:I76,I73,F1:F76)</f>
        <v>42</v>
      </c>
    </row>
    <row r="82" spans="1:2" x14ac:dyDescent="0.3">
      <c r="A82" s="38" t="s">
        <v>92</v>
      </c>
      <c r="B82" s="38">
        <f>SUMIF(I1:I76,I71,F1:F76)</f>
        <v>55</v>
      </c>
    </row>
    <row r="83" spans="1:2" x14ac:dyDescent="0.3">
      <c r="A83" s="38" t="s">
        <v>610</v>
      </c>
      <c r="B83" s="38">
        <f>SUM(B79:B82)</f>
        <v>150</v>
      </c>
    </row>
    <row r="86" spans="1:2" x14ac:dyDescent="0.3">
      <c r="A86" s="38" t="s">
        <v>604</v>
      </c>
    </row>
    <row r="87" spans="1:2" x14ac:dyDescent="0.3">
      <c r="A87" s="38" t="s">
        <v>605</v>
      </c>
      <c r="B87" s="38" t="s">
        <v>606</v>
      </c>
    </row>
    <row r="88" spans="1:2" x14ac:dyDescent="0.3">
      <c r="A88" s="38" t="s">
        <v>607</v>
      </c>
      <c r="B88" s="38" t="s">
        <v>606</v>
      </c>
    </row>
  </sheetData>
  <mergeCells count="12">
    <mergeCell ref="D1:F1"/>
    <mergeCell ref="A76:C76"/>
    <mergeCell ref="D2:F2"/>
    <mergeCell ref="A10:C10"/>
    <mergeCell ref="A19:C19"/>
    <mergeCell ref="A27:C27"/>
    <mergeCell ref="A36:C36"/>
    <mergeCell ref="A53:C53"/>
    <mergeCell ref="A45:C45"/>
    <mergeCell ref="A56:C56"/>
    <mergeCell ref="A64:C64"/>
    <mergeCell ref="A66:C6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topLeftCell="A16" workbookViewId="0">
      <selection activeCell="B31" sqref="B31"/>
    </sheetView>
  </sheetViews>
  <sheetFormatPr defaultRowHeight="14.4" x14ac:dyDescent="0.3"/>
  <cols>
    <col min="2" max="2" width="12.109375" bestFit="1" customWidth="1"/>
    <col min="3" max="3" width="44.88671875" bestFit="1" customWidth="1"/>
    <col min="4" max="4" width="20.33203125" bestFit="1" customWidth="1"/>
    <col min="5" max="5" width="10.33203125" style="1" bestFit="1" customWidth="1"/>
    <col min="6" max="6" width="14.88671875" style="2" bestFit="1" customWidth="1"/>
    <col min="7" max="7" width="30.44140625" style="3" bestFit="1" customWidth="1"/>
    <col min="8" max="8" width="39.109375" bestFit="1" customWidth="1"/>
    <col min="10" max="10" width="158.88671875" style="2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1" t="s">
        <v>7</v>
      </c>
      <c r="I1" s="11" t="s">
        <v>8</v>
      </c>
      <c r="J1" s="13" t="s">
        <v>9</v>
      </c>
    </row>
    <row r="2" spans="1:10" x14ac:dyDescent="0.3">
      <c r="A2" s="11" t="s">
        <v>502</v>
      </c>
      <c r="B2" s="11" t="s">
        <v>10</v>
      </c>
      <c r="C2" s="11" t="s">
        <v>11</v>
      </c>
      <c r="D2" s="11" t="s">
        <v>12</v>
      </c>
      <c r="E2" s="12" t="s">
        <v>13</v>
      </c>
      <c r="F2" s="13" t="s">
        <v>14</v>
      </c>
      <c r="G2" s="14"/>
      <c r="H2" s="11"/>
      <c r="I2" s="11"/>
      <c r="J2" s="13"/>
    </row>
    <row r="3" spans="1:10" x14ac:dyDescent="0.3">
      <c r="A3" s="19"/>
      <c r="B3" s="19" t="s">
        <v>16</v>
      </c>
      <c r="C3" s="19" t="s">
        <v>87</v>
      </c>
      <c r="D3" s="19">
        <v>3</v>
      </c>
      <c r="E3" s="24"/>
      <c r="F3" s="27"/>
      <c r="G3" s="21" t="s">
        <v>92</v>
      </c>
      <c r="H3" s="19" t="s">
        <v>179</v>
      </c>
      <c r="I3" s="19"/>
      <c r="J3" s="27"/>
    </row>
    <row r="4" spans="1:10" x14ac:dyDescent="0.3">
      <c r="A4" s="19"/>
      <c r="B4" s="19" t="s">
        <v>17</v>
      </c>
      <c r="C4" s="19" t="s">
        <v>88</v>
      </c>
      <c r="D4" s="19">
        <v>3</v>
      </c>
      <c r="E4" s="24"/>
      <c r="F4" s="27"/>
      <c r="G4" s="21" t="s">
        <v>102</v>
      </c>
      <c r="H4" s="19" t="s">
        <v>179</v>
      </c>
      <c r="I4" s="19"/>
      <c r="J4" s="27"/>
    </row>
    <row r="5" spans="1:10" x14ac:dyDescent="0.3">
      <c r="A5" s="19"/>
      <c r="B5" s="19" t="s">
        <v>503</v>
      </c>
      <c r="C5" s="19" t="s">
        <v>505</v>
      </c>
      <c r="D5" s="19">
        <v>3</v>
      </c>
      <c r="E5" s="24"/>
      <c r="F5" s="27"/>
      <c r="G5" s="21" t="s">
        <v>507</v>
      </c>
      <c r="H5" s="19" t="s">
        <v>179</v>
      </c>
      <c r="I5" s="19"/>
      <c r="J5" s="27"/>
    </row>
    <row r="6" spans="1:10" x14ac:dyDescent="0.3">
      <c r="A6" s="19"/>
      <c r="B6" s="19" t="s">
        <v>504</v>
      </c>
      <c r="C6" s="19" t="s">
        <v>506</v>
      </c>
      <c r="D6" s="19">
        <v>3</v>
      </c>
      <c r="E6" s="24"/>
      <c r="F6" s="27"/>
      <c r="G6" s="21" t="s">
        <v>507</v>
      </c>
      <c r="H6" s="19" t="s">
        <v>179</v>
      </c>
      <c r="I6" s="19"/>
      <c r="J6" s="27"/>
    </row>
    <row r="7" spans="1:10" x14ac:dyDescent="0.3">
      <c r="A7" s="19"/>
      <c r="B7" s="19" t="s">
        <v>433</v>
      </c>
      <c r="C7" s="19" t="s">
        <v>435</v>
      </c>
      <c r="D7" s="19">
        <v>3</v>
      </c>
      <c r="E7" s="24"/>
      <c r="F7" s="27"/>
      <c r="G7" s="21" t="s">
        <v>437</v>
      </c>
      <c r="H7" s="19" t="s">
        <v>179</v>
      </c>
      <c r="I7" s="19"/>
      <c r="J7" s="27"/>
    </row>
    <row r="8" spans="1:10" x14ac:dyDescent="0.3">
      <c r="A8" s="19"/>
      <c r="B8" s="19" t="s">
        <v>434</v>
      </c>
      <c r="C8" s="19" t="s">
        <v>436</v>
      </c>
      <c r="D8" s="19">
        <v>3</v>
      </c>
      <c r="E8" s="24"/>
      <c r="F8" s="27"/>
      <c r="G8" s="21" t="s">
        <v>437</v>
      </c>
      <c r="H8" s="19" t="s">
        <v>179</v>
      </c>
      <c r="I8" s="19"/>
      <c r="J8" s="27"/>
    </row>
    <row r="9" spans="1:10" s="17" customFormat="1" x14ac:dyDescent="0.3">
      <c r="A9" s="57" t="s">
        <v>73</v>
      </c>
      <c r="B9" s="57"/>
      <c r="C9" s="57"/>
      <c r="D9" s="30">
        <f>SUM(D3:D8)</f>
        <v>18</v>
      </c>
      <c r="E9" s="25"/>
      <c r="F9" s="28"/>
      <c r="G9" s="22"/>
      <c r="H9" s="30"/>
      <c r="I9" s="30"/>
      <c r="J9" s="28"/>
    </row>
    <row r="10" spans="1:10" x14ac:dyDescent="0.3">
      <c r="A10" s="19"/>
      <c r="B10" s="19"/>
      <c r="C10" s="19"/>
      <c r="D10" s="19"/>
      <c r="E10" s="24"/>
      <c r="F10" s="27" t="s">
        <v>215</v>
      </c>
      <c r="G10" s="21"/>
      <c r="H10" s="19"/>
      <c r="I10" s="19"/>
      <c r="J10" s="27"/>
    </row>
    <row r="11" spans="1:10" x14ac:dyDescent="0.3">
      <c r="A11" s="19"/>
      <c r="B11" s="19" t="s">
        <v>22</v>
      </c>
      <c r="C11" s="19" t="s">
        <v>95</v>
      </c>
      <c r="D11" s="19">
        <v>2</v>
      </c>
      <c r="E11" s="24"/>
      <c r="F11" s="27"/>
      <c r="G11" s="21" t="s">
        <v>92</v>
      </c>
      <c r="H11" s="19" t="s">
        <v>179</v>
      </c>
      <c r="I11" s="19"/>
      <c r="J11" s="27"/>
    </row>
    <row r="12" spans="1:10" x14ac:dyDescent="0.3">
      <c r="A12" s="19"/>
      <c r="B12" s="19" t="s">
        <v>23</v>
      </c>
      <c r="C12" s="19" t="s">
        <v>96</v>
      </c>
      <c r="D12" s="19">
        <v>2</v>
      </c>
      <c r="E12" s="24"/>
      <c r="F12" s="27"/>
      <c r="G12" s="21" t="s">
        <v>92</v>
      </c>
      <c r="H12" s="19" t="s">
        <v>179</v>
      </c>
      <c r="I12" s="19"/>
      <c r="J12" s="27" t="s">
        <v>592</v>
      </c>
    </row>
    <row r="13" spans="1:10" x14ac:dyDescent="0.3">
      <c r="A13" s="19"/>
      <c r="B13" s="19" t="s">
        <v>509</v>
      </c>
      <c r="C13" s="19" t="s">
        <v>510</v>
      </c>
      <c r="D13" s="19">
        <v>3</v>
      </c>
      <c r="E13" s="24"/>
      <c r="F13" s="27"/>
      <c r="G13" s="21" t="s">
        <v>507</v>
      </c>
      <c r="H13" s="19" t="s">
        <v>179</v>
      </c>
      <c r="I13" s="19"/>
      <c r="J13" s="27"/>
    </row>
    <row r="14" spans="1:10" x14ac:dyDescent="0.3">
      <c r="A14" s="19"/>
      <c r="B14" s="19" t="s">
        <v>508</v>
      </c>
      <c r="C14" s="19" t="s">
        <v>511</v>
      </c>
      <c r="D14" s="19">
        <v>3</v>
      </c>
      <c r="E14" s="24"/>
      <c r="F14" s="27"/>
      <c r="G14" s="21" t="s">
        <v>507</v>
      </c>
      <c r="H14" s="19" t="s">
        <v>179</v>
      </c>
      <c r="I14" s="19"/>
      <c r="J14" s="27"/>
    </row>
    <row r="15" spans="1:10" x14ac:dyDescent="0.3">
      <c r="A15" s="19"/>
      <c r="B15" s="19" t="s">
        <v>439</v>
      </c>
      <c r="C15" s="19" t="s">
        <v>445</v>
      </c>
      <c r="D15" s="19">
        <v>3</v>
      </c>
      <c r="E15" s="24"/>
      <c r="F15" s="27"/>
      <c r="G15" s="21" t="s">
        <v>437</v>
      </c>
      <c r="H15" s="19" t="s">
        <v>179</v>
      </c>
      <c r="I15" s="19"/>
      <c r="J15" s="27"/>
    </row>
    <row r="16" spans="1:10" x14ac:dyDescent="0.3">
      <c r="A16" s="19"/>
      <c r="B16" s="19" t="s">
        <v>440</v>
      </c>
      <c r="C16" s="19" t="s">
        <v>446</v>
      </c>
      <c r="D16" s="19">
        <v>3</v>
      </c>
      <c r="E16" s="24"/>
      <c r="F16" s="27"/>
      <c r="G16" s="21" t="s">
        <v>437</v>
      </c>
      <c r="H16" s="19" t="s">
        <v>179</v>
      </c>
      <c r="I16" s="19"/>
      <c r="J16" s="27"/>
    </row>
    <row r="17" spans="1:10" x14ac:dyDescent="0.3">
      <c r="A17" s="19"/>
      <c r="B17" s="19" t="s">
        <v>29</v>
      </c>
      <c r="C17" s="19" t="s">
        <v>447</v>
      </c>
      <c r="D17" s="19">
        <v>2</v>
      </c>
      <c r="E17" s="24"/>
      <c r="F17" s="27"/>
      <c r="G17" s="21" t="s">
        <v>92</v>
      </c>
      <c r="H17" s="19" t="s">
        <v>179</v>
      </c>
      <c r="I17" s="19"/>
      <c r="J17" s="27"/>
    </row>
    <row r="18" spans="1:10" s="17" customFormat="1" x14ac:dyDescent="0.3">
      <c r="A18" s="57" t="s">
        <v>73</v>
      </c>
      <c r="B18" s="57"/>
      <c r="C18" s="57"/>
      <c r="D18" s="30">
        <f>SUM(D11:D17)</f>
        <v>18</v>
      </c>
      <c r="E18" s="25"/>
      <c r="F18" s="28"/>
      <c r="G18" s="22"/>
      <c r="H18" s="30"/>
      <c r="I18" s="30"/>
      <c r="J18" s="28"/>
    </row>
    <row r="19" spans="1:10" x14ac:dyDescent="0.3">
      <c r="A19" s="19"/>
      <c r="B19" s="19"/>
      <c r="C19" s="19"/>
      <c r="D19" s="19"/>
      <c r="E19" s="24" t="s">
        <v>136</v>
      </c>
      <c r="F19" s="27" t="s">
        <v>159</v>
      </c>
      <c r="G19" s="21"/>
      <c r="H19" s="19"/>
      <c r="I19" s="19"/>
      <c r="J19" s="27"/>
    </row>
    <row r="20" spans="1:10" x14ac:dyDescent="0.3">
      <c r="A20" s="19"/>
      <c r="B20" s="19" t="s">
        <v>30</v>
      </c>
      <c r="C20" s="19" t="s">
        <v>103</v>
      </c>
      <c r="D20" s="19">
        <v>3</v>
      </c>
      <c r="E20" s="24"/>
      <c r="F20" s="27"/>
      <c r="G20" s="21" t="s">
        <v>92</v>
      </c>
      <c r="H20" s="19" t="s">
        <v>179</v>
      </c>
      <c r="I20" s="19"/>
      <c r="J20" s="27" t="s">
        <v>594</v>
      </c>
    </row>
    <row r="21" spans="1:10" x14ac:dyDescent="0.3">
      <c r="A21" s="19"/>
      <c r="B21" s="19" t="s">
        <v>31</v>
      </c>
      <c r="C21" s="19" t="s">
        <v>406</v>
      </c>
      <c r="D21" s="19">
        <v>3</v>
      </c>
      <c r="E21" s="24"/>
      <c r="F21" s="27"/>
      <c r="G21" s="21" t="s">
        <v>92</v>
      </c>
      <c r="H21" s="19" t="s">
        <v>179</v>
      </c>
      <c r="I21" s="19"/>
      <c r="J21" s="27"/>
    </row>
    <row r="22" spans="1:10" x14ac:dyDescent="0.3">
      <c r="A22" s="19"/>
      <c r="B22" s="19" t="s">
        <v>512</v>
      </c>
      <c r="C22" s="19" t="s">
        <v>514</v>
      </c>
      <c r="D22" s="19">
        <v>3</v>
      </c>
      <c r="E22" s="24"/>
      <c r="F22" s="27"/>
      <c r="G22" s="21" t="s">
        <v>507</v>
      </c>
      <c r="H22" s="19" t="s">
        <v>179</v>
      </c>
      <c r="I22" s="19"/>
      <c r="J22" s="27"/>
    </row>
    <row r="23" spans="1:10" x14ac:dyDescent="0.3">
      <c r="A23" s="19"/>
      <c r="B23" s="19" t="s">
        <v>513</v>
      </c>
      <c r="C23" s="19" t="s">
        <v>515</v>
      </c>
      <c r="D23" s="19">
        <v>3</v>
      </c>
      <c r="E23" s="24"/>
      <c r="F23" s="27"/>
      <c r="G23" s="21" t="s">
        <v>507</v>
      </c>
      <c r="H23" s="19" t="s">
        <v>179</v>
      </c>
      <c r="I23" s="19"/>
      <c r="J23" s="27"/>
    </row>
    <row r="24" spans="1:10" x14ac:dyDescent="0.3">
      <c r="A24" s="19"/>
      <c r="B24" s="19" t="s">
        <v>441</v>
      </c>
      <c r="C24" s="19" t="s">
        <v>448</v>
      </c>
      <c r="D24" s="19">
        <v>3</v>
      </c>
      <c r="E24" s="24"/>
      <c r="F24" s="27"/>
      <c r="G24" s="21" t="s">
        <v>437</v>
      </c>
      <c r="H24" s="19" t="s">
        <v>179</v>
      </c>
      <c r="I24" s="19"/>
      <c r="J24" s="27"/>
    </row>
    <row r="25" spans="1:10" x14ac:dyDescent="0.3">
      <c r="A25" s="19"/>
      <c r="B25" s="19" t="s">
        <v>442</v>
      </c>
      <c r="C25" s="19" t="s">
        <v>449</v>
      </c>
      <c r="D25" s="19">
        <v>3</v>
      </c>
      <c r="E25" s="24"/>
      <c r="F25" s="27"/>
      <c r="G25" s="21" t="s">
        <v>437</v>
      </c>
      <c r="H25" s="19" t="s">
        <v>179</v>
      </c>
      <c r="I25" s="19"/>
      <c r="J25" s="27"/>
    </row>
    <row r="26" spans="1:10" s="17" customFormat="1" x14ac:dyDescent="0.3">
      <c r="A26" s="57" t="s">
        <v>73</v>
      </c>
      <c r="B26" s="57"/>
      <c r="C26" s="57"/>
      <c r="D26" s="30">
        <f>SUM(D20:D25)</f>
        <v>18</v>
      </c>
      <c r="E26" s="25"/>
      <c r="F26" s="28"/>
      <c r="G26" s="22"/>
      <c r="H26" s="30"/>
      <c r="I26" s="30"/>
      <c r="J26" s="28"/>
    </row>
    <row r="27" spans="1:10" x14ac:dyDescent="0.3">
      <c r="A27" s="19"/>
      <c r="B27" s="19"/>
      <c r="C27" s="19"/>
      <c r="D27" s="19"/>
      <c r="E27" s="24"/>
      <c r="F27" s="27" t="s">
        <v>215</v>
      </c>
      <c r="G27" s="21"/>
      <c r="H27" s="19"/>
      <c r="I27" s="19"/>
      <c r="J27" s="27"/>
    </row>
    <row r="28" spans="1:10" x14ac:dyDescent="0.3">
      <c r="A28" s="19"/>
      <c r="B28" s="19" t="s">
        <v>35</v>
      </c>
      <c r="C28" s="19" t="s">
        <v>110</v>
      </c>
      <c r="D28" s="19">
        <v>3</v>
      </c>
      <c r="E28" s="24"/>
      <c r="F28" s="27"/>
      <c r="G28" s="21" t="s">
        <v>92</v>
      </c>
      <c r="H28" s="19" t="s">
        <v>179</v>
      </c>
      <c r="I28" s="19"/>
      <c r="J28" s="27" t="s">
        <v>595</v>
      </c>
    </row>
    <row r="29" spans="1:10" x14ac:dyDescent="0.3">
      <c r="A29" s="19"/>
      <c r="B29" s="19" t="s">
        <v>36</v>
      </c>
      <c r="C29" s="19" t="s">
        <v>316</v>
      </c>
      <c r="D29" s="19">
        <v>3</v>
      </c>
      <c r="E29" s="24"/>
      <c r="F29" s="27"/>
      <c r="G29" s="21" t="s">
        <v>92</v>
      </c>
      <c r="H29" s="19" t="s">
        <v>179</v>
      </c>
      <c r="I29" s="19"/>
      <c r="J29" s="27"/>
    </row>
    <row r="30" spans="1:10" x14ac:dyDescent="0.3">
      <c r="A30" s="19"/>
      <c r="B30" s="19" t="s">
        <v>516</v>
      </c>
      <c r="C30" s="19" t="s">
        <v>517</v>
      </c>
      <c r="D30" s="19">
        <v>3</v>
      </c>
      <c r="E30" s="24"/>
      <c r="F30" s="27"/>
      <c r="G30" s="21" t="s">
        <v>507</v>
      </c>
      <c r="H30" s="19" t="s">
        <v>179</v>
      </c>
      <c r="I30" s="19"/>
      <c r="J30" s="27"/>
    </row>
    <row r="31" spans="1:10" x14ac:dyDescent="0.3">
      <c r="A31" s="19"/>
      <c r="B31" s="19" t="s">
        <v>633</v>
      </c>
      <c r="C31" s="19" t="s">
        <v>518</v>
      </c>
      <c r="D31" s="19">
        <v>3</v>
      </c>
      <c r="E31" s="24"/>
      <c r="F31" s="27"/>
      <c r="G31" s="21" t="s">
        <v>507</v>
      </c>
      <c r="H31" s="19" t="s">
        <v>179</v>
      </c>
      <c r="I31" s="19"/>
      <c r="J31" s="27"/>
    </row>
    <row r="32" spans="1:10" x14ac:dyDescent="0.3">
      <c r="A32" s="19"/>
      <c r="B32" s="19" t="s">
        <v>443</v>
      </c>
      <c r="C32" s="19" t="s">
        <v>450</v>
      </c>
      <c r="D32" s="19">
        <v>3</v>
      </c>
      <c r="E32" s="24"/>
      <c r="F32" s="27"/>
      <c r="G32" s="21" t="s">
        <v>437</v>
      </c>
      <c r="H32" s="19" t="s">
        <v>179</v>
      </c>
      <c r="I32" s="19"/>
      <c r="J32" s="27"/>
    </row>
    <row r="33" spans="1:10" x14ac:dyDescent="0.3">
      <c r="A33" s="19"/>
      <c r="B33" s="19" t="s">
        <v>444</v>
      </c>
      <c r="C33" s="19" t="s">
        <v>451</v>
      </c>
      <c r="D33" s="19">
        <v>3</v>
      </c>
      <c r="E33" s="24"/>
      <c r="F33" s="27"/>
      <c r="G33" s="21" t="s">
        <v>437</v>
      </c>
      <c r="H33" s="19" t="s">
        <v>179</v>
      </c>
      <c r="I33" s="19"/>
      <c r="J33" s="27"/>
    </row>
    <row r="34" spans="1:10" s="17" customFormat="1" x14ac:dyDescent="0.3">
      <c r="A34" s="57" t="s">
        <v>73</v>
      </c>
      <c r="B34" s="57"/>
      <c r="C34" s="57"/>
      <c r="D34" s="30">
        <f>SUM(D28:D33)</f>
        <v>18</v>
      </c>
      <c r="E34" s="25"/>
      <c r="F34" s="28"/>
      <c r="G34" s="22"/>
      <c r="H34" s="30"/>
      <c r="I34" s="30"/>
      <c r="J34" s="28"/>
    </row>
    <row r="35" spans="1:10" x14ac:dyDescent="0.3">
      <c r="A35" s="19"/>
      <c r="B35" s="19"/>
      <c r="C35" s="19"/>
      <c r="D35" s="19"/>
      <c r="E35" s="24" t="s">
        <v>174</v>
      </c>
      <c r="F35" s="27" t="s">
        <v>14</v>
      </c>
      <c r="G35" s="21"/>
      <c r="H35" s="19"/>
      <c r="I35" s="19"/>
      <c r="J35" s="27"/>
    </row>
    <row r="36" spans="1:10" x14ac:dyDescent="0.3">
      <c r="A36" s="19"/>
      <c r="B36" s="19" t="s">
        <v>41</v>
      </c>
      <c r="C36" s="19" t="s">
        <v>330</v>
      </c>
      <c r="D36" s="19">
        <v>3</v>
      </c>
      <c r="E36" s="24"/>
      <c r="F36" s="27"/>
      <c r="G36" s="21" t="s">
        <v>92</v>
      </c>
      <c r="H36" s="19" t="s">
        <v>179</v>
      </c>
      <c r="I36" s="19"/>
      <c r="J36" s="27" t="s">
        <v>596</v>
      </c>
    </row>
    <row r="37" spans="1:10" x14ac:dyDescent="0.3">
      <c r="A37" s="19"/>
      <c r="B37" s="19" t="s">
        <v>42</v>
      </c>
      <c r="C37" s="19" t="s">
        <v>329</v>
      </c>
      <c r="D37" s="19">
        <v>3</v>
      </c>
      <c r="E37" s="24"/>
      <c r="F37" s="27"/>
      <c r="G37" s="21" t="s">
        <v>92</v>
      </c>
      <c r="H37" s="19" t="s">
        <v>179</v>
      </c>
      <c r="I37" s="19"/>
      <c r="J37" s="27" t="s">
        <v>598</v>
      </c>
    </row>
    <row r="38" spans="1:10" x14ac:dyDescent="0.3">
      <c r="A38" s="19"/>
      <c r="B38" s="19" t="s">
        <v>519</v>
      </c>
      <c r="C38" s="19" t="s">
        <v>521</v>
      </c>
      <c r="D38" s="19">
        <v>3</v>
      </c>
      <c r="E38" s="24"/>
      <c r="F38" s="27"/>
      <c r="G38" s="21" t="s">
        <v>507</v>
      </c>
      <c r="H38" s="19" t="s">
        <v>179</v>
      </c>
      <c r="I38" s="19"/>
      <c r="J38" s="27"/>
    </row>
    <row r="39" spans="1:10" x14ac:dyDescent="0.3">
      <c r="A39" s="19"/>
      <c r="B39" s="19" t="s">
        <v>520</v>
      </c>
      <c r="C39" s="19" t="s">
        <v>522</v>
      </c>
      <c r="D39" s="19">
        <v>3</v>
      </c>
      <c r="E39" s="24"/>
      <c r="F39" s="27"/>
      <c r="G39" s="21" t="s">
        <v>507</v>
      </c>
      <c r="H39" s="19" t="s">
        <v>179</v>
      </c>
      <c r="I39" s="19"/>
      <c r="J39" s="27"/>
    </row>
    <row r="40" spans="1:10" x14ac:dyDescent="0.3">
      <c r="A40" s="19"/>
      <c r="B40" s="19" t="s">
        <v>452</v>
      </c>
      <c r="C40" s="19" t="s">
        <v>455</v>
      </c>
      <c r="D40" s="19">
        <v>3</v>
      </c>
      <c r="E40" s="24"/>
      <c r="F40" s="27"/>
      <c r="G40" s="21" t="s">
        <v>437</v>
      </c>
      <c r="H40" s="19" t="s">
        <v>179</v>
      </c>
      <c r="I40" s="19"/>
      <c r="J40" s="27"/>
    </row>
    <row r="41" spans="1:10" x14ac:dyDescent="0.3">
      <c r="A41" s="19"/>
      <c r="B41" s="19" t="s">
        <v>452</v>
      </c>
      <c r="C41" s="19" t="s">
        <v>455</v>
      </c>
      <c r="D41" s="19">
        <v>3</v>
      </c>
      <c r="E41" s="24"/>
      <c r="F41" s="27"/>
      <c r="G41" s="21" t="s">
        <v>437</v>
      </c>
      <c r="H41" s="19" t="s">
        <v>179</v>
      </c>
      <c r="I41" s="19"/>
      <c r="J41" s="27"/>
    </row>
    <row r="42" spans="1:10" s="17" customFormat="1" x14ac:dyDescent="0.3">
      <c r="A42" s="57" t="s">
        <v>73</v>
      </c>
      <c r="B42" s="57"/>
      <c r="C42" s="57"/>
      <c r="D42" s="30">
        <f>SUM(D36:D41)</f>
        <v>18</v>
      </c>
      <c r="E42" s="25"/>
      <c r="F42" s="28"/>
      <c r="G42" s="22"/>
      <c r="H42" s="30"/>
      <c r="I42" s="30"/>
      <c r="J42" s="28"/>
    </row>
    <row r="43" spans="1:10" x14ac:dyDescent="0.3">
      <c r="A43" s="19"/>
      <c r="B43" s="19"/>
      <c r="C43" s="19"/>
      <c r="D43" s="19"/>
      <c r="E43" s="24"/>
      <c r="F43" s="27" t="s">
        <v>215</v>
      </c>
      <c r="G43" s="21"/>
      <c r="H43" s="19"/>
      <c r="I43" s="19"/>
      <c r="J43" s="27"/>
    </row>
    <row r="44" spans="1:10" x14ac:dyDescent="0.3">
      <c r="A44" s="19"/>
      <c r="B44" s="19" t="s">
        <v>453</v>
      </c>
      <c r="C44" s="19" t="s">
        <v>457</v>
      </c>
      <c r="D44" s="19">
        <v>3</v>
      </c>
      <c r="E44" s="24"/>
      <c r="F44" s="27"/>
      <c r="G44" s="21" t="s">
        <v>92</v>
      </c>
      <c r="H44" s="19" t="s">
        <v>179</v>
      </c>
      <c r="I44" s="19"/>
      <c r="J44" s="27" t="s">
        <v>600</v>
      </c>
    </row>
    <row r="45" spans="1:10" x14ac:dyDescent="0.3">
      <c r="A45" s="19"/>
      <c r="B45" s="19" t="s">
        <v>523</v>
      </c>
      <c r="C45" s="19" t="s">
        <v>524</v>
      </c>
      <c r="D45" s="19">
        <v>3</v>
      </c>
      <c r="E45" s="24"/>
      <c r="F45" s="27"/>
      <c r="G45" s="21" t="s">
        <v>92</v>
      </c>
      <c r="H45" s="19" t="s">
        <v>179</v>
      </c>
      <c r="I45" s="19"/>
      <c r="J45" s="27" t="s">
        <v>600</v>
      </c>
    </row>
    <row r="46" spans="1:10" x14ac:dyDescent="0.3">
      <c r="A46" s="19"/>
      <c r="B46" s="19" t="s">
        <v>49</v>
      </c>
      <c r="C46" s="19" t="s">
        <v>338</v>
      </c>
      <c r="D46" s="19">
        <v>3</v>
      </c>
      <c r="E46" s="24"/>
      <c r="F46" s="27"/>
      <c r="G46" s="21" t="s">
        <v>92</v>
      </c>
      <c r="H46" s="19" t="s">
        <v>179</v>
      </c>
      <c r="I46" s="19"/>
      <c r="J46" s="27" t="s">
        <v>597</v>
      </c>
    </row>
    <row r="47" spans="1:10" x14ac:dyDescent="0.3">
      <c r="A47" s="19"/>
      <c r="B47" s="19" t="s">
        <v>525</v>
      </c>
      <c r="C47" s="19" t="s">
        <v>526</v>
      </c>
      <c r="D47" s="19">
        <v>3</v>
      </c>
      <c r="E47" s="24"/>
      <c r="F47" s="27"/>
      <c r="G47" s="21" t="s">
        <v>507</v>
      </c>
      <c r="H47" s="19" t="s">
        <v>179</v>
      </c>
      <c r="I47" s="19"/>
      <c r="J47" s="27"/>
    </row>
    <row r="48" spans="1:10" x14ac:dyDescent="0.3">
      <c r="A48" s="19"/>
      <c r="B48" s="19" t="s">
        <v>527</v>
      </c>
      <c r="C48" s="19" t="s">
        <v>528</v>
      </c>
      <c r="D48" s="19">
        <v>3</v>
      </c>
      <c r="E48" s="24"/>
      <c r="F48" s="27"/>
      <c r="G48" s="21" t="s">
        <v>507</v>
      </c>
      <c r="H48" s="19" t="s">
        <v>179</v>
      </c>
      <c r="I48" s="19"/>
      <c r="J48" s="27"/>
    </row>
    <row r="49" spans="1:10" x14ac:dyDescent="0.3">
      <c r="A49" s="19"/>
      <c r="B49" s="19" t="s">
        <v>452</v>
      </c>
      <c r="C49" s="19" t="s">
        <v>455</v>
      </c>
      <c r="D49" s="19">
        <v>3</v>
      </c>
      <c r="E49" s="24"/>
      <c r="F49" s="27"/>
      <c r="G49" s="21" t="s">
        <v>437</v>
      </c>
      <c r="H49" s="19" t="s">
        <v>179</v>
      </c>
      <c r="I49" s="19"/>
      <c r="J49" s="27"/>
    </row>
    <row r="50" spans="1:10" s="17" customFormat="1" x14ac:dyDescent="0.3">
      <c r="A50" s="57" t="s">
        <v>73</v>
      </c>
      <c r="B50" s="57"/>
      <c r="C50" s="57"/>
      <c r="D50" s="30">
        <f>SUM(D44:D49)</f>
        <v>18</v>
      </c>
      <c r="E50" s="25"/>
      <c r="F50" s="28"/>
      <c r="G50" s="22"/>
      <c r="H50" s="30"/>
      <c r="I50" s="30"/>
      <c r="J50" s="28"/>
    </row>
    <row r="51" spans="1:10" x14ac:dyDescent="0.3">
      <c r="A51" s="19"/>
      <c r="B51" s="19"/>
      <c r="C51" s="19"/>
      <c r="D51" s="19"/>
      <c r="E51" s="24"/>
      <c r="F51" s="27" t="s">
        <v>85</v>
      </c>
      <c r="G51" s="21"/>
      <c r="I51" s="19"/>
      <c r="J51" s="27"/>
    </row>
    <row r="52" spans="1:10" x14ac:dyDescent="0.3">
      <c r="A52" s="19"/>
      <c r="B52" s="19" t="s">
        <v>53</v>
      </c>
      <c r="C52" s="19" t="s">
        <v>126</v>
      </c>
      <c r="D52" s="19">
        <v>6</v>
      </c>
      <c r="E52" s="24"/>
      <c r="F52" s="27"/>
      <c r="G52" s="21" t="s">
        <v>92</v>
      </c>
      <c r="H52" s="19" t="s">
        <v>179</v>
      </c>
      <c r="I52" s="19"/>
      <c r="J52" s="27" t="s">
        <v>599</v>
      </c>
    </row>
    <row r="53" spans="1:10" s="17" customFormat="1" x14ac:dyDescent="0.3">
      <c r="A53" s="57" t="s">
        <v>73</v>
      </c>
      <c r="B53" s="57"/>
      <c r="C53" s="57"/>
      <c r="D53" s="30">
        <f>SUM(D52)</f>
        <v>6</v>
      </c>
      <c r="E53" s="25"/>
      <c r="F53" s="28"/>
      <c r="G53" s="22"/>
      <c r="H53" s="30"/>
      <c r="I53" s="30"/>
      <c r="J53" s="28"/>
    </row>
    <row r="54" spans="1:10" x14ac:dyDescent="0.3">
      <c r="A54" s="19"/>
      <c r="B54" s="19"/>
      <c r="C54" s="19"/>
      <c r="D54" s="19"/>
      <c r="E54" s="21" t="s">
        <v>158</v>
      </c>
      <c r="F54" s="27" t="s">
        <v>159</v>
      </c>
      <c r="I54" s="19"/>
      <c r="J54" s="27"/>
    </row>
    <row r="55" spans="1:10" x14ac:dyDescent="0.3">
      <c r="A55" s="19"/>
      <c r="B55" s="19" t="s">
        <v>54</v>
      </c>
      <c r="C55" s="19" t="s">
        <v>80</v>
      </c>
      <c r="D55" s="19">
        <v>3</v>
      </c>
      <c r="E55" s="24"/>
      <c r="F55" s="27"/>
      <c r="G55" s="21" t="s">
        <v>92</v>
      </c>
      <c r="H55" s="19" t="s">
        <v>179</v>
      </c>
      <c r="I55" s="19"/>
      <c r="J55" s="27" t="s">
        <v>591</v>
      </c>
    </row>
    <row r="56" spans="1:10" x14ac:dyDescent="0.3">
      <c r="A56" s="19"/>
      <c r="B56" s="19" t="s">
        <v>55</v>
      </c>
      <c r="C56" s="19" t="s">
        <v>350</v>
      </c>
      <c r="D56" s="19">
        <v>3</v>
      </c>
      <c r="E56" s="24"/>
      <c r="F56" s="27"/>
      <c r="G56" s="21" t="s">
        <v>92</v>
      </c>
      <c r="H56" s="19" t="s">
        <v>179</v>
      </c>
      <c r="I56" s="19"/>
      <c r="J56" s="27" t="s">
        <v>591</v>
      </c>
    </row>
    <row r="57" spans="1:10" x14ac:dyDescent="0.3">
      <c r="A57" s="19"/>
      <c r="B57" s="19" t="s">
        <v>529</v>
      </c>
      <c r="C57" s="19" t="s">
        <v>530</v>
      </c>
      <c r="D57" s="19">
        <v>3</v>
      </c>
      <c r="E57" s="24"/>
      <c r="F57" s="27"/>
      <c r="G57" s="21" t="s">
        <v>507</v>
      </c>
      <c r="H57" s="19" t="s">
        <v>179</v>
      </c>
      <c r="I57" s="19"/>
      <c r="J57" s="27"/>
    </row>
    <row r="58" spans="1:10" x14ac:dyDescent="0.3">
      <c r="A58" s="19"/>
      <c r="B58" s="19" t="s">
        <v>452</v>
      </c>
      <c r="C58" s="19" t="s">
        <v>455</v>
      </c>
      <c r="D58" s="19">
        <v>3</v>
      </c>
      <c r="E58" s="24"/>
      <c r="F58" s="27"/>
      <c r="G58" s="21" t="s">
        <v>437</v>
      </c>
      <c r="H58" s="19" t="s">
        <v>179</v>
      </c>
      <c r="I58" s="19"/>
      <c r="J58" s="27"/>
    </row>
    <row r="59" spans="1:10" x14ac:dyDescent="0.3">
      <c r="A59" s="19"/>
      <c r="B59" s="19" t="s">
        <v>452</v>
      </c>
      <c r="C59" s="19" t="s">
        <v>455</v>
      </c>
      <c r="D59" s="19">
        <v>3</v>
      </c>
      <c r="E59" s="24"/>
      <c r="F59" s="27"/>
      <c r="G59" s="21" t="s">
        <v>437</v>
      </c>
      <c r="H59" s="19" t="s">
        <v>179</v>
      </c>
      <c r="I59" s="19"/>
      <c r="J59" s="27"/>
    </row>
    <row r="60" spans="1:10" x14ac:dyDescent="0.3">
      <c r="A60" s="19"/>
      <c r="B60" s="19" t="s">
        <v>24</v>
      </c>
      <c r="C60" s="19" t="s">
        <v>170</v>
      </c>
      <c r="D60" s="19">
        <v>1</v>
      </c>
      <c r="E60" s="24"/>
      <c r="F60" s="27"/>
      <c r="G60" s="21" t="s">
        <v>102</v>
      </c>
      <c r="H60" s="19" t="s">
        <v>179</v>
      </c>
      <c r="I60" s="19"/>
      <c r="J60" s="27"/>
    </row>
    <row r="61" spans="1:10" s="17" customFormat="1" x14ac:dyDescent="0.3">
      <c r="A61" s="57" t="s">
        <v>73</v>
      </c>
      <c r="B61" s="57"/>
      <c r="C61" s="57"/>
      <c r="D61" s="30">
        <f>SUM(D55:D60)</f>
        <v>16</v>
      </c>
      <c r="E61" s="25"/>
      <c r="F61" s="28"/>
      <c r="G61" s="22"/>
      <c r="H61" s="30"/>
      <c r="I61" s="30"/>
      <c r="J61" s="28"/>
    </row>
    <row r="62" spans="1:10" x14ac:dyDescent="0.3">
      <c r="A62" s="19"/>
      <c r="B62" s="19"/>
      <c r="C62" s="19"/>
      <c r="D62" s="19"/>
      <c r="E62" s="24"/>
      <c r="F62" s="27" t="s">
        <v>215</v>
      </c>
      <c r="G62" s="21"/>
      <c r="H62" s="19"/>
      <c r="I62" s="19"/>
      <c r="J62" s="27"/>
    </row>
    <row r="63" spans="1:10" x14ac:dyDescent="0.3">
      <c r="A63" s="19"/>
      <c r="B63" s="19" t="s">
        <v>61</v>
      </c>
      <c r="C63" s="19" t="s">
        <v>72</v>
      </c>
      <c r="D63" s="19">
        <v>2</v>
      </c>
      <c r="E63" s="24"/>
      <c r="F63" s="27"/>
      <c r="G63" s="21" t="s">
        <v>92</v>
      </c>
      <c r="H63" s="19" t="s">
        <v>179</v>
      </c>
      <c r="I63" s="19"/>
      <c r="J63" s="27" t="s">
        <v>591</v>
      </c>
    </row>
    <row r="64" spans="1:10" x14ac:dyDescent="0.3">
      <c r="A64" s="19"/>
      <c r="B64" s="19" t="s">
        <v>62</v>
      </c>
      <c r="C64" s="19" t="s">
        <v>355</v>
      </c>
      <c r="D64" s="19">
        <v>3</v>
      </c>
      <c r="E64" s="24"/>
      <c r="F64" s="27"/>
      <c r="G64" s="21" t="s">
        <v>92</v>
      </c>
      <c r="H64" s="19" t="s">
        <v>179</v>
      </c>
      <c r="I64" s="19"/>
      <c r="J64" s="27" t="s">
        <v>591</v>
      </c>
    </row>
    <row r="65" spans="1:10" x14ac:dyDescent="0.3">
      <c r="A65" s="19"/>
      <c r="B65" s="19" t="s">
        <v>531</v>
      </c>
      <c r="C65" s="19" t="s">
        <v>532</v>
      </c>
      <c r="D65" s="19">
        <v>3</v>
      </c>
      <c r="E65" s="24"/>
      <c r="F65" s="27"/>
      <c r="G65" s="21" t="s">
        <v>507</v>
      </c>
      <c r="H65" s="19" t="s">
        <v>179</v>
      </c>
      <c r="I65" s="19"/>
      <c r="J65" s="27"/>
    </row>
    <row r="66" spans="1:10" x14ac:dyDescent="0.3">
      <c r="A66" s="19"/>
      <c r="B66" s="19" t="s">
        <v>454</v>
      </c>
      <c r="C66" s="19" t="s">
        <v>455</v>
      </c>
      <c r="D66" s="19">
        <v>3</v>
      </c>
      <c r="E66" s="24"/>
      <c r="F66" s="27"/>
      <c r="G66" s="21" t="s">
        <v>437</v>
      </c>
      <c r="H66" s="19" t="s">
        <v>179</v>
      </c>
      <c r="I66" s="19"/>
      <c r="J66" s="27"/>
    </row>
    <row r="67" spans="1:10" x14ac:dyDescent="0.3">
      <c r="A67" s="19"/>
      <c r="B67" s="19" t="s">
        <v>37</v>
      </c>
      <c r="C67" s="19" t="s">
        <v>465</v>
      </c>
      <c r="D67" s="19">
        <v>3</v>
      </c>
      <c r="E67" s="24"/>
      <c r="F67" s="27"/>
      <c r="G67" s="21" t="s">
        <v>102</v>
      </c>
      <c r="H67" s="19" t="s">
        <v>179</v>
      </c>
      <c r="I67" s="19"/>
      <c r="J67" s="27"/>
    </row>
    <row r="68" spans="1:10" x14ac:dyDescent="0.3">
      <c r="A68" s="19"/>
      <c r="B68" s="19" t="s">
        <v>58</v>
      </c>
      <c r="C68" s="19" t="s">
        <v>533</v>
      </c>
      <c r="D68" s="19">
        <v>2</v>
      </c>
      <c r="E68" s="24"/>
      <c r="F68" s="27"/>
      <c r="G68" s="21" t="s">
        <v>92</v>
      </c>
      <c r="H68" s="19" t="s">
        <v>179</v>
      </c>
      <c r="I68" s="19"/>
      <c r="J68" s="27"/>
    </row>
    <row r="69" spans="1:10" x14ac:dyDescent="0.3">
      <c r="A69" s="19"/>
      <c r="B69" s="19" t="s">
        <v>60</v>
      </c>
      <c r="C69" s="19" t="s">
        <v>327</v>
      </c>
      <c r="D69" s="19">
        <v>2</v>
      </c>
      <c r="E69" s="24"/>
      <c r="F69" s="27"/>
      <c r="G69" s="21" t="s">
        <v>102</v>
      </c>
      <c r="H69" s="19" t="s">
        <v>179</v>
      </c>
      <c r="I69" s="19"/>
      <c r="J69" s="27"/>
    </row>
    <row r="70" spans="1:10" s="17" customFormat="1" x14ac:dyDescent="0.3">
      <c r="A70" s="57" t="s">
        <v>73</v>
      </c>
      <c r="B70" s="57"/>
      <c r="C70" s="57"/>
      <c r="D70" s="30">
        <f>SUM(D63:D69)</f>
        <v>18</v>
      </c>
      <c r="E70" s="25"/>
      <c r="F70" s="28"/>
      <c r="G70" s="22"/>
      <c r="H70" s="30"/>
      <c r="I70" s="30"/>
      <c r="J70" s="28"/>
    </row>
    <row r="72" spans="1:10" x14ac:dyDescent="0.3">
      <c r="A72" s="38" t="s">
        <v>603</v>
      </c>
      <c r="B72" s="38"/>
    </row>
    <row r="73" spans="1:10" x14ac:dyDescent="0.3">
      <c r="A73" s="38" t="s">
        <v>608</v>
      </c>
      <c r="B73" s="38">
        <f>SUMIF(G3:G69,G67,D3:D69)</f>
        <v>9</v>
      </c>
    </row>
    <row r="74" spans="1:10" x14ac:dyDescent="0.3">
      <c r="A74" s="38" t="s">
        <v>622</v>
      </c>
      <c r="B74" s="38">
        <f>SUMIF(G1:G70,G65,D1:D70)</f>
        <v>42</v>
      </c>
    </row>
    <row r="75" spans="1:10" x14ac:dyDescent="0.3">
      <c r="A75" s="38" t="s">
        <v>623</v>
      </c>
      <c r="B75" s="38">
        <f>SUMIF(G2:G71,G32,D2:D71)</f>
        <v>42</v>
      </c>
    </row>
    <row r="76" spans="1:10" x14ac:dyDescent="0.3">
      <c r="A76" s="38" t="s">
        <v>92</v>
      </c>
      <c r="B76" s="38">
        <f>SUMIF(G1:G72,G63,D1:D72)</f>
        <v>55</v>
      </c>
    </row>
    <row r="77" spans="1:10" x14ac:dyDescent="0.3">
      <c r="A77" s="38" t="s">
        <v>610</v>
      </c>
      <c r="B77" s="38">
        <f>SUM(B73:B76)</f>
        <v>148</v>
      </c>
    </row>
    <row r="78" spans="1:10" x14ac:dyDescent="0.3">
      <c r="A78" s="38"/>
      <c r="B78" s="38"/>
    </row>
    <row r="79" spans="1:10" x14ac:dyDescent="0.3">
      <c r="A79" s="38"/>
      <c r="B79" s="38"/>
    </row>
    <row r="80" spans="1:10" x14ac:dyDescent="0.3">
      <c r="A80" s="38" t="s">
        <v>604</v>
      </c>
      <c r="B80" s="38"/>
    </row>
    <row r="81" spans="1:2" x14ac:dyDescent="0.3">
      <c r="A81" s="38" t="s">
        <v>605</v>
      </c>
      <c r="B81" s="38" t="s">
        <v>606</v>
      </c>
    </row>
    <row r="82" spans="1:2" x14ac:dyDescent="0.3">
      <c r="A82" s="38" t="s">
        <v>607</v>
      </c>
      <c r="B82" s="38" t="s">
        <v>606</v>
      </c>
    </row>
  </sheetData>
  <mergeCells count="9">
    <mergeCell ref="A53:C53"/>
    <mergeCell ref="A61:C61"/>
    <mergeCell ref="A70:C70"/>
    <mergeCell ref="A9:C9"/>
    <mergeCell ref="A18:C18"/>
    <mergeCell ref="A26:C26"/>
    <mergeCell ref="A34:C34"/>
    <mergeCell ref="A42:C42"/>
    <mergeCell ref="A50:C5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topLeftCell="A64" zoomScaleNormal="100" workbookViewId="0">
      <selection activeCell="A74" sqref="A74:B84"/>
    </sheetView>
  </sheetViews>
  <sheetFormatPr defaultRowHeight="14.4" x14ac:dyDescent="0.3"/>
  <cols>
    <col min="2" max="2" width="12.109375" bestFit="1" customWidth="1"/>
    <col min="3" max="3" width="40.44140625" bestFit="1" customWidth="1"/>
    <col min="4" max="4" width="13.33203125" customWidth="1"/>
    <col min="5" max="5" width="12.5546875" customWidth="1"/>
    <col min="6" max="6" width="15.6640625" customWidth="1"/>
    <col min="7" max="7" width="10.33203125" style="1" bestFit="1" customWidth="1"/>
    <col min="8" max="8" width="14.88671875" style="2" bestFit="1" customWidth="1"/>
    <col min="9" max="9" width="30.44140625" style="3" bestFit="1" customWidth="1"/>
    <col min="10" max="10" width="39.109375" bestFit="1" customWidth="1"/>
    <col min="11" max="11" width="5.6640625" bestFit="1" customWidth="1"/>
    <col min="12" max="12" width="158.88671875" style="2" bestFit="1" customWidth="1"/>
  </cols>
  <sheetData>
    <row r="1" spans="1:12" x14ac:dyDescent="0.3">
      <c r="A1" s="11" t="s">
        <v>0</v>
      </c>
      <c r="B1" s="11" t="s">
        <v>1</v>
      </c>
      <c r="C1" s="11" t="s">
        <v>2</v>
      </c>
      <c r="D1" s="59" t="s">
        <v>3</v>
      </c>
      <c r="E1" s="59"/>
      <c r="F1" s="59"/>
      <c r="G1" s="12" t="s">
        <v>4</v>
      </c>
      <c r="H1" s="13" t="s">
        <v>5</v>
      </c>
      <c r="I1" s="14" t="s">
        <v>6</v>
      </c>
      <c r="J1" s="11" t="s">
        <v>7</v>
      </c>
      <c r="K1" s="11" t="s">
        <v>8</v>
      </c>
      <c r="L1" s="13" t="s">
        <v>9</v>
      </c>
    </row>
    <row r="2" spans="1:12" x14ac:dyDescent="0.3">
      <c r="A2" s="11" t="s">
        <v>534</v>
      </c>
      <c r="B2" s="11" t="s">
        <v>10</v>
      </c>
      <c r="C2" s="11" t="s">
        <v>11</v>
      </c>
      <c r="D2" s="59" t="s">
        <v>12</v>
      </c>
      <c r="E2" s="59"/>
      <c r="F2" s="59"/>
      <c r="G2" s="12" t="s">
        <v>13</v>
      </c>
      <c r="H2" s="13" t="s">
        <v>14</v>
      </c>
      <c r="I2" s="14"/>
      <c r="J2" s="11"/>
      <c r="K2" s="11"/>
      <c r="L2" s="13"/>
    </row>
    <row r="3" spans="1:12" x14ac:dyDescent="0.3">
      <c r="A3" s="11"/>
      <c r="B3" s="11"/>
      <c r="C3" s="11"/>
      <c r="D3" s="11" t="s">
        <v>282</v>
      </c>
      <c r="E3" s="11" t="s">
        <v>283</v>
      </c>
      <c r="F3" s="11" t="s">
        <v>284</v>
      </c>
      <c r="G3" s="12"/>
      <c r="H3" s="13"/>
      <c r="I3" s="14"/>
      <c r="J3" s="11"/>
      <c r="K3" s="11"/>
      <c r="L3" s="13"/>
    </row>
    <row r="4" spans="1:12" x14ac:dyDescent="0.3">
      <c r="A4" s="19"/>
      <c r="B4" s="19" t="s">
        <v>16</v>
      </c>
      <c r="C4" s="19" t="s">
        <v>87</v>
      </c>
      <c r="D4" s="19">
        <v>3</v>
      </c>
      <c r="E4" s="19"/>
      <c r="F4" s="19">
        <f>SUM(D4:E4)</f>
        <v>3</v>
      </c>
      <c r="G4" s="24"/>
      <c r="H4" s="27"/>
      <c r="I4" s="21" t="s">
        <v>92</v>
      </c>
      <c r="J4" s="19" t="s">
        <v>179</v>
      </c>
      <c r="K4" s="19"/>
      <c r="L4" s="27"/>
    </row>
    <row r="5" spans="1:12" x14ac:dyDescent="0.3">
      <c r="A5" s="19"/>
      <c r="B5" s="19" t="s">
        <v>17</v>
      </c>
      <c r="C5" s="19" t="s">
        <v>88</v>
      </c>
      <c r="D5" s="19">
        <v>3</v>
      </c>
      <c r="E5" s="19"/>
      <c r="F5" s="38">
        <f t="shared" ref="F5:F9" si="0">SUM(D5:E5)</f>
        <v>3</v>
      </c>
      <c r="G5" s="24"/>
      <c r="H5" s="27"/>
      <c r="I5" s="21" t="s">
        <v>102</v>
      </c>
      <c r="J5" s="19" t="s">
        <v>179</v>
      </c>
      <c r="K5" s="19"/>
      <c r="L5" s="27"/>
    </row>
    <row r="6" spans="1:12" x14ac:dyDescent="0.3">
      <c r="A6" s="19"/>
      <c r="B6" s="19" t="s">
        <v>433</v>
      </c>
      <c r="C6" s="19" t="s">
        <v>435</v>
      </c>
      <c r="D6" s="19">
        <v>3</v>
      </c>
      <c r="E6" s="19"/>
      <c r="F6" s="38">
        <f t="shared" si="0"/>
        <v>3</v>
      </c>
      <c r="G6" s="24"/>
      <c r="H6" s="27"/>
      <c r="I6" s="21" t="s">
        <v>437</v>
      </c>
      <c r="J6" s="19" t="s">
        <v>179</v>
      </c>
      <c r="K6" s="19"/>
      <c r="L6" s="27"/>
    </row>
    <row r="7" spans="1:12" x14ac:dyDescent="0.3">
      <c r="A7" s="19"/>
      <c r="B7" s="19" t="s">
        <v>434</v>
      </c>
      <c r="C7" s="19" t="s">
        <v>436</v>
      </c>
      <c r="D7" s="19">
        <v>3</v>
      </c>
      <c r="E7" s="19"/>
      <c r="F7" s="38">
        <f t="shared" si="0"/>
        <v>3</v>
      </c>
      <c r="G7" s="24"/>
      <c r="H7" s="27"/>
      <c r="I7" s="21" t="s">
        <v>437</v>
      </c>
      <c r="J7" s="19" t="s">
        <v>179</v>
      </c>
      <c r="K7" s="19"/>
      <c r="L7" s="27"/>
    </row>
    <row r="8" spans="1:12" x14ac:dyDescent="0.3">
      <c r="A8" s="19"/>
      <c r="B8" s="19" t="s">
        <v>361</v>
      </c>
      <c r="C8" s="19" t="s">
        <v>363</v>
      </c>
      <c r="D8" s="19">
        <v>2</v>
      </c>
      <c r="E8" s="19">
        <v>1</v>
      </c>
      <c r="F8" s="38">
        <f t="shared" si="0"/>
        <v>3</v>
      </c>
      <c r="G8" s="24"/>
      <c r="H8" s="27"/>
      <c r="I8" s="21" t="s">
        <v>365</v>
      </c>
      <c r="J8" s="19" t="s">
        <v>179</v>
      </c>
      <c r="K8" s="19"/>
      <c r="L8" s="27"/>
    </row>
    <row r="9" spans="1:12" x14ac:dyDescent="0.3">
      <c r="A9" s="19"/>
      <c r="B9" s="19" t="s">
        <v>360</v>
      </c>
      <c r="C9" s="19" t="s">
        <v>364</v>
      </c>
      <c r="D9" s="19">
        <v>2</v>
      </c>
      <c r="E9" s="19">
        <v>1</v>
      </c>
      <c r="F9" s="38">
        <f t="shared" si="0"/>
        <v>3</v>
      </c>
      <c r="G9" s="24"/>
      <c r="H9" s="27"/>
      <c r="I9" s="21" t="s">
        <v>365</v>
      </c>
      <c r="J9" s="19" t="s">
        <v>179</v>
      </c>
      <c r="K9" s="19"/>
      <c r="L9" s="27"/>
    </row>
    <row r="10" spans="1:12" s="17" customFormat="1" x14ac:dyDescent="0.3">
      <c r="A10" s="57" t="s">
        <v>73</v>
      </c>
      <c r="B10" s="57"/>
      <c r="C10" s="57"/>
      <c r="D10" s="30">
        <f>SUM(D4:D9)</f>
        <v>16</v>
      </c>
      <c r="E10" s="30">
        <v>2</v>
      </c>
      <c r="F10" s="30">
        <f>SUM(D10:E10)</f>
        <v>18</v>
      </c>
      <c r="G10" s="25"/>
      <c r="H10" s="28"/>
      <c r="I10" s="22"/>
      <c r="J10" s="30"/>
      <c r="K10" s="30"/>
      <c r="L10" s="28"/>
    </row>
    <row r="11" spans="1:12" x14ac:dyDescent="0.3">
      <c r="A11" s="19"/>
      <c r="B11" s="19"/>
      <c r="C11" s="19"/>
      <c r="D11" s="19"/>
      <c r="E11" s="19"/>
      <c r="F11" s="19"/>
      <c r="G11" s="24"/>
      <c r="H11" s="27" t="s">
        <v>81</v>
      </c>
      <c r="I11" s="21"/>
      <c r="J11" s="19"/>
      <c r="K11" s="19"/>
      <c r="L11" s="27"/>
    </row>
    <row r="12" spans="1:12" x14ac:dyDescent="0.3">
      <c r="A12" s="19"/>
      <c r="B12" s="19" t="s">
        <v>22</v>
      </c>
      <c r="C12" s="19" t="s">
        <v>95</v>
      </c>
      <c r="D12" s="19">
        <v>2</v>
      </c>
      <c r="E12" s="19"/>
      <c r="F12" s="19">
        <f>SUM(D12:E12)</f>
        <v>2</v>
      </c>
      <c r="G12" s="24"/>
      <c r="H12" s="27"/>
      <c r="I12" s="21" t="s">
        <v>92</v>
      </c>
      <c r="J12" s="19" t="s">
        <v>179</v>
      </c>
      <c r="K12" s="19"/>
      <c r="L12" s="27"/>
    </row>
    <row r="13" spans="1:12" x14ac:dyDescent="0.3">
      <c r="A13" s="19"/>
      <c r="B13" s="19" t="s">
        <v>23</v>
      </c>
      <c r="C13" s="19" t="s">
        <v>96</v>
      </c>
      <c r="D13" s="19">
        <v>2</v>
      </c>
      <c r="E13" s="19"/>
      <c r="F13" s="38">
        <f t="shared" ref="F13:F18" si="1">SUM(D13:E13)</f>
        <v>2</v>
      </c>
      <c r="G13" s="24"/>
      <c r="H13" s="27"/>
      <c r="I13" s="21" t="s">
        <v>92</v>
      </c>
      <c r="J13" s="19" t="s">
        <v>179</v>
      </c>
      <c r="K13" s="19"/>
      <c r="L13" s="27" t="s">
        <v>592</v>
      </c>
    </row>
    <row r="14" spans="1:12" x14ac:dyDescent="0.3">
      <c r="A14" s="19"/>
      <c r="B14" s="19" t="s">
        <v>439</v>
      </c>
      <c r="C14" s="19" t="s">
        <v>445</v>
      </c>
      <c r="D14" s="19">
        <v>3</v>
      </c>
      <c r="E14" s="19"/>
      <c r="F14" s="38">
        <f t="shared" si="1"/>
        <v>3</v>
      </c>
      <c r="G14" s="24"/>
      <c r="H14" s="27"/>
      <c r="I14" s="21" t="s">
        <v>437</v>
      </c>
      <c r="J14" s="19" t="s">
        <v>179</v>
      </c>
      <c r="K14" s="19"/>
      <c r="L14" s="27"/>
    </row>
    <row r="15" spans="1:12" x14ac:dyDescent="0.3">
      <c r="A15" s="19"/>
      <c r="B15" s="19" t="s">
        <v>440</v>
      </c>
      <c r="C15" s="19" t="s">
        <v>446</v>
      </c>
      <c r="D15" s="19">
        <v>3</v>
      </c>
      <c r="E15" s="19"/>
      <c r="F15" s="38">
        <f t="shared" si="1"/>
        <v>3</v>
      </c>
      <c r="G15" s="24"/>
      <c r="H15" s="27"/>
      <c r="I15" s="21" t="s">
        <v>437</v>
      </c>
      <c r="J15" s="19" t="s">
        <v>179</v>
      </c>
      <c r="K15" s="19"/>
      <c r="L15" s="27"/>
    </row>
    <row r="16" spans="1:12" x14ac:dyDescent="0.3">
      <c r="A16" s="19"/>
      <c r="B16" s="19" t="s">
        <v>366</v>
      </c>
      <c r="C16" s="19" t="s">
        <v>368</v>
      </c>
      <c r="D16" s="19">
        <v>2</v>
      </c>
      <c r="E16" s="19">
        <v>1</v>
      </c>
      <c r="F16" s="38">
        <f t="shared" si="1"/>
        <v>3</v>
      </c>
      <c r="G16" s="24"/>
      <c r="H16" s="27"/>
      <c r="I16" s="21" t="s">
        <v>365</v>
      </c>
      <c r="J16" s="19" t="s">
        <v>179</v>
      </c>
      <c r="K16" s="19"/>
      <c r="L16" s="27"/>
    </row>
    <row r="17" spans="1:12" x14ac:dyDescent="0.3">
      <c r="A17" s="19"/>
      <c r="B17" s="19" t="s">
        <v>367</v>
      </c>
      <c r="C17" s="19" t="s">
        <v>369</v>
      </c>
      <c r="D17" s="19">
        <v>2</v>
      </c>
      <c r="E17" s="19">
        <v>1</v>
      </c>
      <c r="F17" s="38">
        <f t="shared" si="1"/>
        <v>3</v>
      </c>
      <c r="G17" s="24"/>
      <c r="H17" s="27"/>
      <c r="I17" s="21" t="s">
        <v>365</v>
      </c>
      <c r="J17" s="19" t="s">
        <v>179</v>
      </c>
      <c r="K17" s="19"/>
      <c r="L17" s="27"/>
    </row>
    <row r="18" spans="1:12" x14ac:dyDescent="0.3">
      <c r="A18" s="19"/>
      <c r="B18" s="19" t="s">
        <v>29</v>
      </c>
      <c r="C18" s="19" t="s">
        <v>447</v>
      </c>
      <c r="D18" s="19">
        <v>2</v>
      </c>
      <c r="E18" s="19"/>
      <c r="F18" s="38">
        <f t="shared" si="1"/>
        <v>2</v>
      </c>
      <c r="G18" s="24"/>
      <c r="H18" s="27"/>
      <c r="I18" s="21" t="s">
        <v>92</v>
      </c>
      <c r="J18" s="19" t="s">
        <v>179</v>
      </c>
      <c r="K18" s="19"/>
      <c r="L18" s="27"/>
    </row>
    <row r="19" spans="1:12" s="17" customFormat="1" x14ac:dyDescent="0.3">
      <c r="A19" s="57" t="s">
        <v>73</v>
      </c>
      <c r="B19" s="57"/>
      <c r="C19" s="57"/>
      <c r="D19" s="30">
        <f>SUM(D12:D18)</f>
        <v>16</v>
      </c>
      <c r="E19" s="30">
        <v>2</v>
      </c>
      <c r="F19" s="30">
        <f>SUM(D19:E19)</f>
        <v>18</v>
      </c>
      <c r="G19" s="25"/>
      <c r="H19" s="28"/>
      <c r="I19" s="22"/>
      <c r="J19" s="30"/>
      <c r="K19" s="30"/>
      <c r="L19" s="28"/>
    </row>
    <row r="20" spans="1:12" x14ac:dyDescent="0.3">
      <c r="A20" s="19"/>
      <c r="B20" s="19"/>
      <c r="C20" s="19"/>
      <c r="D20" s="19"/>
      <c r="E20" s="19"/>
      <c r="F20" s="19"/>
      <c r="G20" s="24" t="s">
        <v>136</v>
      </c>
      <c r="H20" s="27" t="s">
        <v>14</v>
      </c>
      <c r="I20" s="21"/>
      <c r="J20" s="19"/>
      <c r="K20" s="19"/>
      <c r="L20" s="27"/>
    </row>
    <row r="21" spans="1:12" x14ac:dyDescent="0.3">
      <c r="A21" s="19"/>
      <c r="B21" s="19" t="s">
        <v>30</v>
      </c>
      <c r="C21" s="19" t="s">
        <v>103</v>
      </c>
      <c r="D21" s="19">
        <v>3</v>
      </c>
      <c r="E21" s="19"/>
      <c r="F21" s="19">
        <f>SUM(D21:E21)</f>
        <v>3</v>
      </c>
      <c r="G21" s="24"/>
      <c r="H21" s="27"/>
      <c r="I21" s="21" t="s">
        <v>92</v>
      </c>
      <c r="J21" s="19" t="s">
        <v>179</v>
      </c>
      <c r="K21" s="19"/>
      <c r="L21" s="27" t="s">
        <v>594</v>
      </c>
    </row>
    <row r="22" spans="1:12" x14ac:dyDescent="0.3">
      <c r="A22" s="19"/>
      <c r="B22" s="19" t="s">
        <v>31</v>
      </c>
      <c r="C22" s="19" t="s">
        <v>406</v>
      </c>
      <c r="D22" s="19">
        <v>3</v>
      </c>
      <c r="E22" s="19"/>
      <c r="F22" s="38">
        <f t="shared" ref="F22:F26" si="2">SUM(D22:E22)</f>
        <v>3</v>
      </c>
      <c r="G22" s="24"/>
      <c r="H22" s="27"/>
      <c r="I22" s="21" t="s">
        <v>92</v>
      </c>
      <c r="J22" s="19" t="s">
        <v>179</v>
      </c>
      <c r="K22" s="19"/>
      <c r="L22" s="27"/>
    </row>
    <row r="23" spans="1:12" x14ac:dyDescent="0.3">
      <c r="A23" s="19"/>
      <c r="B23" s="19" t="s">
        <v>441</v>
      </c>
      <c r="C23" s="19" t="s">
        <v>448</v>
      </c>
      <c r="D23" s="19">
        <v>3</v>
      </c>
      <c r="E23" s="19"/>
      <c r="F23" s="38">
        <f t="shared" si="2"/>
        <v>3</v>
      </c>
      <c r="G23" s="24"/>
      <c r="H23" s="27"/>
      <c r="I23" s="21" t="s">
        <v>437</v>
      </c>
      <c r="J23" s="19" t="s">
        <v>179</v>
      </c>
      <c r="K23" s="19"/>
      <c r="L23" s="27"/>
    </row>
    <row r="24" spans="1:12" x14ac:dyDescent="0.3">
      <c r="A24" s="19"/>
      <c r="B24" s="19" t="s">
        <v>442</v>
      </c>
      <c r="C24" s="19" t="s">
        <v>449</v>
      </c>
      <c r="D24" s="19">
        <v>3</v>
      </c>
      <c r="E24" s="19"/>
      <c r="F24" s="38">
        <f t="shared" si="2"/>
        <v>3</v>
      </c>
      <c r="G24" s="24"/>
      <c r="H24" s="27"/>
      <c r="I24" s="21" t="s">
        <v>437</v>
      </c>
      <c r="J24" s="19" t="s">
        <v>179</v>
      </c>
      <c r="K24" s="19"/>
      <c r="L24" s="27"/>
    </row>
    <row r="25" spans="1:12" x14ac:dyDescent="0.3">
      <c r="A25" s="19"/>
      <c r="B25" s="19" t="s">
        <v>370</v>
      </c>
      <c r="C25" s="19" t="s">
        <v>375</v>
      </c>
      <c r="D25" s="19">
        <v>3</v>
      </c>
      <c r="E25" s="19"/>
      <c r="F25" s="38">
        <f t="shared" si="2"/>
        <v>3</v>
      </c>
      <c r="G25" s="24"/>
      <c r="H25" s="27"/>
      <c r="I25" s="21" t="s">
        <v>365</v>
      </c>
      <c r="J25" s="19" t="s">
        <v>179</v>
      </c>
      <c r="K25" s="19"/>
      <c r="L25" s="27"/>
    </row>
    <row r="26" spans="1:12" x14ac:dyDescent="0.3">
      <c r="A26" s="19"/>
      <c r="B26" s="19" t="s">
        <v>371</v>
      </c>
      <c r="C26" s="19" t="s">
        <v>376</v>
      </c>
      <c r="D26" s="19">
        <v>2</v>
      </c>
      <c r="E26" s="19">
        <v>1</v>
      </c>
      <c r="F26" s="38">
        <f t="shared" si="2"/>
        <v>3</v>
      </c>
      <c r="G26" s="24"/>
      <c r="H26" s="27"/>
      <c r="I26" s="21" t="s">
        <v>365</v>
      </c>
      <c r="J26" s="19" t="s">
        <v>179</v>
      </c>
      <c r="K26" s="19"/>
      <c r="L26" s="27"/>
    </row>
    <row r="27" spans="1:12" s="17" customFormat="1" x14ac:dyDescent="0.3">
      <c r="A27" s="57" t="s">
        <v>73</v>
      </c>
      <c r="B27" s="57"/>
      <c r="C27" s="57"/>
      <c r="D27" s="30">
        <f>SUM(D21:D26)</f>
        <v>17</v>
      </c>
      <c r="E27" s="30">
        <v>1</v>
      </c>
      <c r="F27" s="30">
        <f>SUM(D27:E27)</f>
        <v>18</v>
      </c>
      <c r="G27" s="25"/>
      <c r="H27" s="28"/>
      <c r="I27" s="22"/>
      <c r="J27" s="30"/>
      <c r="K27" s="30"/>
      <c r="L27" s="28"/>
    </row>
    <row r="28" spans="1:12" x14ac:dyDescent="0.3">
      <c r="A28" s="19"/>
      <c r="B28" s="19"/>
      <c r="C28" s="19"/>
      <c r="D28" s="19"/>
      <c r="E28" s="19"/>
      <c r="F28" s="19"/>
      <c r="G28" s="24"/>
      <c r="H28" s="27" t="s">
        <v>81</v>
      </c>
      <c r="I28" s="21"/>
      <c r="J28" s="19"/>
      <c r="K28" s="19"/>
      <c r="L28" s="27"/>
    </row>
    <row r="29" spans="1:12" x14ac:dyDescent="0.3">
      <c r="A29" s="19"/>
      <c r="B29" s="19" t="s">
        <v>35</v>
      </c>
      <c r="C29" s="19" t="s">
        <v>110</v>
      </c>
      <c r="D29" s="19">
        <v>3</v>
      </c>
      <c r="E29" s="19"/>
      <c r="F29" s="19">
        <f>SUM(D29:E29)</f>
        <v>3</v>
      </c>
      <c r="G29" s="24"/>
      <c r="H29" s="27"/>
      <c r="I29" s="21" t="s">
        <v>92</v>
      </c>
      <c r="J29" s="19" t="s">
        <v>179</v>
      </c>
      <c r="K29" s="19"/>
      <c r="L29" s="27" t="s">
        <v>595</v>
      </c>
    </row>
    <row r="30" spans="1:12" x14ac:dyDescent="0.3">
      <c r="A30" s="19"/>
      <c r="B30" s="19" t="s">
        <v>36</v>
      </c>
      <c r="C30" s="19" t="s">
        <v>316</v>
      </c>
      <c r="D30" s="19">
        <v>3</v>
      </c>
      <c r="E30" s="19"/>
      <c r="F30" s="38">
        <f t="shared" ref="F30:F35" si="3">SUM(D30:E30)</f>
        <v>3</v>
      </c>
      <c r="G30" s="24"/>
      <c r="H30" s="27"/>
      <c r="I30" s="21" t="s">
        <v>92</v>
      </c>
      <c r="J30" s="19" t="s">
        <v>179</v>
      </c>
      <c r="K30" s="19"/>
      <c r="L30" s="27"/>
    </row>
    <row r="31" spans="1:12" x14ac:dyDescent="0.3">
      <c r="A31" s="19"/>
      <c r="B31" s="19" t="s">
        <v>24</v>
      </c>
      <c r="C31" s="19" t="s">
        <v>142</v>
      </c>
      <c r="D31" s="19">
        <v>1</v>
      </c>
      <c r="E31" s="19"/>
      <c r="F31" s="38">
        <f t="shared" si="3"/>
        <v>1</v>
      </c>
      <c r="G31" s="24"/>
      <c r="H31" s="27"/>
      <c r="I31" s="21" t="s">
        <v>102</v>
      </c>
      <c r="J31" s="19" t="s">
        <v>179</v>
      </c>
      <c r="K31" s="19"/>
      <c r="L31" s="27"/>
    </row>
    <row r="32" spans="1:12" x14ac:dyDescent="0.3">
      <c r="A32" s="19"/>
      <c r="B32" s="19" t="s">
        <v>443</v>
      </c>
      <c r="C32" s="19" t="s">
        <v>450</v>
      </c>
      <c r="D32" s="19">
        <v>3</v>
      </c>
      <c r="E32" s="19"/>
      <c r="F32" s="38">
        <f t="shared" si="3"/>
        <v>3</v>
      </c>
      <c r="G32" s="24"/>
      <c r="H32" s="27"/>
      <c r="I32" s="21" t="s">
        <v>437</v>
      </c>
      <c r="J32" s="19" t="s">
        <v>179</v>
      </c>
      <c r="K32" s="19"/>
      <c r="L32" s="27"/>
    </row>
    <row r="33" spans="1:12" x14ac:dyDescent="0.3">
      <c r="A33" s="19"/>
      <c r="B33" s="19" t="s">
        <v>444</v>
      </c>
      <c r="C33" s="19" t="s">
        <v>451</v>
      </c>
      <c r="D33" s="19">
        <v>3</v>
      </c>
      <c r="E33" s="19"/>
      <c r="F33" s="38">
        <f t="shared" si="3"/>
        <v>3</v>
      </c>
      <c r="G33" s="24"/>
      <c r="H33" s="27"/>
      <c r="I33" s="21" t="s">
        <v>437</v>
      </c>
      <c r="J33" s="19" t="s">
        <v>179</v>
      </c>
      <c r="K33" s="19"/>
      <c r="L33" s="27"/>
    </row>
    <row r="34" spans="1:12" x14ac:dyDescent="0.3">
      <c r="A34" s="19"/>
      <c r="B34" s="19" t="s">
        <v>25</v>
      </c>
      <c r="C34" s="19" t="s">
        <v>171</v>
      </c>
      <c r="D34" s="19">
        <v>2</v>
      </c>
      <c r="E34" s="19"/>
      <c r="F34" s="38">
        <f t="shared" si="3"/>
        <v>2</v>
      </c>
      <c r="G34" s="24"/>
      <c r="H34" s="27"/>
      <c r="I34" s="21" t="s">
        <v>102</v>
      </c>
      <c r="J34" s="19" t="s">
        <v>179</v>
      </c>
      <c r="K34" s="19"/>
      <c r="L34" s="27"/>
    </row>
    <row r="35" spans="1:12" x14ac:dyDescent="0.3">
      <c r="A35" s="19"/>
      <c r="B35" s="19" t="s">
        <v>373</v>
      </c>
      <c r="C35" s="19" t="s">
        <v>378</v>
      </c>
      <c r="D35" s="19">
        <v>3</v>
      </c>
      <c r="E35" s="19"/>
      <c r="F35" s="38">
        <f t="shared" si="3"/>
        <v>3</v>
      </c>
      <c r="G35" s="24"/>
      <c r="H35" s="27"/>
      <c r="I35" s="21" t="s">
        <v>365</v>
      </c>
      <c r="J35" s="19" t="s">
        <v>179</v>
      </c>
      <c r="K35" s="19"/>
      <c r="L35" s="27"/>
    </row>
    <row r="36" spans="1:12" s="17" customFormat="1" x14ac:dyDescent="0.3">
      <c r="A36" s="57" t="s">
        <v>73</v>
      </c>
      <c r="B36" s="57"/>
      <c r="C36" s="57"/>
      <c r="D36" s="30">
        <f>SUM(D29:D35)</f>
        <v>18</v>
      </c>
      <c r="E36" s="30"/>
      <c r="F36" s="30"/>
      <c r="G36" s="25"/>
      <c r="H36" s="28"/>
      <c r="I36" s="22"/>
      <c r="J36" s="30"/>
      <c r="K36" s="30"/>
      <c r="L36" s="28"/>
    </row>
    <row r="37" spans="1:12" x14ac:dyDescent="0.3">
      <c r="A37" s="19"/>
      <c r="B37" s="19"/>
      <c r="C37" s="19"/>
      <c r="D37" s="19"/>
      <c r="E37" s="19"/>
      <c r="F37" s="19"/>
      <c r="G37" s="24" t="s">
        <v>174</v>
      </c>
      <c r="H37" s="27" t="s">
        <v>14</v>
      </c>
      <c r="I37" s="21"/>
      <c r="J37" s="19"/>
      <c r="K37" s="19"/>
      <c r="L37" s="27"/>
    </row>
    <row r="38" spans="1:12" x14ac:dyDescent="0.3">
      <c r="A38" s="19"/>
      <c r="B38" s="19" t="s">
        <v>41</v>
      </c>
      <c r="C38" s="19" t="s">
        <v>330</v>
      </c>
      <c r="D38" s="19">
        <v>3</v>
      </c>
      <c r="E38" s="19"/>
      <c r="F38" s="19">
        <f>SUM(D38:E38)</f>
        <v>3</v>
      </c>
      <c r="G38" s="24"/>
      <c r="H38" s="27"/>
      <c r="I38" s="21" t="s">
        <v>92</v>
      </c>
      <c r="J38" s="19" t="s">
        <v>179</v>
      </c>
      <c r="K38" s="19"/>
      <c r="L38" s="27" t="s">
        <v>596</v>
      </c>
    </row>
    <row r="39" spans="1:12" x14ac:dyDescent="0.3">
      <c r="A39" s="19"/>
      <c r="B39" s="19" t="s">
        <v>42</v>
      </c>
      <c r="C39" s="19" t="s">
        <v>329</v>
      </c>
      <c r="D39" s="19">
        <v>3</v>
      </c>
      <c r="E39" s="19"/>
      <c r="F39" s="38">
        <f t="shared" ref="F39:F43" si="4">SUM(D39:E39)</f>
        <v>3</v>
      </c>
      <c r="G39" s="24"/>
      <c r="H39" s="27"/>
      <c r="I39" s="21" t="s">
        <v>92</v>
      </c>
      <c r="J39" s="19" t="s">
        <v>179</v>
      </c>
      <c r="K39" s="19"/>
      <c r="L39" s="27" t="s">
        <v>598</v>
      </c>
    </row>
    <row r="40" spans="1:12" x14ac:dyDescent="0.3">
      <c r="A40" s="19"/>
      <c r="B40" s="19" t="s">
        <v>452</v>
      </c>
      <c r="C40" s="19" t="s">
        <v>455</v>
      </c>
      <c r="D40" s="19">
        <v>3</v>
      </c>
      <c r="E40" s="19"/>
      <c r="F40" s="38">
        <f t="shared" si="4"/>
        <v>3</v>
      </c>
      <c r="G40" s="24"/>
      <c r="H40" s="27"/>
      <c r="I40" s="21" t="s">
        <v>437</v>
      </c>
      <c r="J40" s="19" t="s">
        <v>179</v>
      </c>
      <c r="K40" s="19"/>
      <c r="L40" s="27"/>
    </row>
    <row r="41" spans="1:12" x14ac:dyDescent="0.3">
      <c r="A41" s="19"/>
      <c r="B41" s="19" t="s">
        <v>452</v>
      </c>
      <c r="C41" s="19" t="s">
        <v>455</v>
      </c>
      <c r="D41" s="19">
        <v>3</v>
      </c>
      <c r="E41" s="19"/>
      <c r="F41" s="38">
        <f t="shared" si="4"/>
        <v>3</v>
      </c>
      <c r="G41" s="24"/>
      <c r="H41" s="27"/>
      <c r="I41" s="21" t="s">
        <v>437</v>
      </c>
      <c r="J41" s="19" t="s">
        <v>179</v>
      </c>
      <c r="K41" s="19"/>
      <c r="L41" s="27"/>
    </row>
    <row r="42" spans="1:12" x14ac:dyDescent="0.3">
      <c r="A42" s="19"/>
      <c r="B42" s="19" t="s">
        <v>535</v>
      </c>
      <c r="C42" s="19" t="s">
        <v>536</v>
      </c>
      <c r="D42" s="19">
        <v>2</v>
      </c>
      <c r="E42" s="19">
        <v>1</v>
      </c>
      <c r="F42" s="38">
        <f t="shared" si="4"/>
        <v>3</v>
      </c>
      <c r="G42" s="24"/>
      <c r="H42" s="27"/>
      <c r="I42" s="21" t="s">
        <v>365</v>
      </c>
      <c r="J42" s="19" t="s">
        <v>179</v>
      </c>
      <c r="K42" s="19"/>
      <c r="L42" s="27"/>
    </row>
    <row r="43" spans="1:12" x14ac:dyDescent="0.3">
      <c r="A43" s="19"/>
      <c r="B43" s="19" t="s">
        <v>379</v>
      </c>
      <c r="C43" s="19" t="s">
        <v>381</v>
      </c>
      <c r="D43" s="19">
        <v>2</v>
      </c>
      <c r="E43" s="19">
        <v>1</v>
      </c>
      <c r="F43" s="38">
        <f t="shared" si="4"/>
        <v>3</v>
      </c>
      <c r="G43" s="24"/>
      <c r="H43" s="27"/>
      <c r="I43" s="21" t="s">
        <v>365</v>
      </c>
      <c r="J43" s="19" t="s">
        <v>179</v>
      </c>
      <c r="K43" s="19"/>
      <c r="L43" s="27"/>
    </row>
    <row r="44" spans="1:12" s="17" customFormat="1" x14ac:dyDescent="0.3">
      <c r="A44" s="57" t="s">
        <v>73</v>
      </c>
      <c r="B44" s="57"/>
      <c r="C44" s="57"/>
      <c r="D44" s="30">
        <f>SUM(D38:D43)</f>
        <v>16</v>
      </c>
      <c r="E44" s="30">
        <v>2</v>
      </c>
      <c r="F44" s="30">
        <f>SUM(D44:E44)</f>
        <v>18</v>
      </c>
      <c r="G44" s="25"/>
      <c r="H44" s="28"/>
      <c r="I44" s="22"/>
      <c r="J44" s="30"/>
      <c r="K44" s="30"/>
      <c r="L44" s="28"/>
    </row>
    <row r="45" spans="1:12" x14ac:dyDescent="0.3">
      <c r="A45" s="19"/>
      <c r="B45" s="19"/>
      <c r="C45" s="19"/>
      <c r="D45" s="19"/>
      <c r="E45" s="19"/>
      <c r="F45" s="19"/>
      <c r="G45" s="24"/>
      <c r="H45" s="27" t="s">
        <v>81</v>
      </c>
      <c r="I45" s="21"/>
      <c r="J45" s="19"/>
      <c r="K45" s="19"/>
      <c r="L45" s="27"/>
    </row>
    <row r="46" spans="1:12" x14ac:dyDescent="0.3">
      <c r="A46" s="19"/>
      <c r="B46" s="19" t="s">
        <v>453</v>
      </c>
      <c r="C46" s="19" t="s">
        <v>457</v>
      </c>
      <c r="D46" s="19">
        <v>3</v>
      </c>
      <c r="E46" s="19"/>
      <c r="F46" s="19">
        <f>SUM(D46:E46)</f>
        <v>3</v>
      </c>
      <c r="G46" s="24"/>
      <c r="H46" s="27"/>
      <c r="I46" s="21" t="s">
        <v>92</v>
      </c>
      <c r="J46" s="19" t="s">
        <v>179</v>
      </c>
      <c r="K46" s="19"/>
      <c r="L46" s="27"/>
    </row>
    <row r="47" spans="1:12" x14ac:dyDescent="0.3">
      <c r="A47" s="19"/>
      <c r="B47" s="19" t="s">
        <v>383</v>
      </c>
      <c r="C47" s="19" t="s">
        <v>386</v>
      </c>
      <c r="D47" s="19">
        <v>3</v>
      </c>
      <c r="E47" s="19"/>
      <c r="F47" s="38">
        <f t="shared" ref="F47:F51" si="5">SUM(D47:E47)</f>
        <v>3</v>
      </c>
      <c r="G47" s="24"/>
      <c r="H47" s="27"/>
      <c r="I47" s="21" t="s">
        <v>92</v>
      </c>
      <c r="J47" s="19" t="s">
        <v>179</v>
      </c>
      <c r="K47" s="19"/>
      <c r="L47" s="27"/>
    </row>
    <row r="48" spans="1:12" x14ac:dyDescent="0.3">
      <c r="A48" s="19"/>
      <c r="B48" s="19" t="s">
        <v>49</v>
      </c>
      <c r="C48" s="19" t="s">
        <v>338</v>
      </c>
      <c r="D48" s="19">
        <v>3</v>
      </c>
      <c r="E48" s="19"/>
      <c r="F48" s="38">
        <f t="shared" si="5"/>
        <v>3</v>
      </c>
      <c r="G48" s="24"/>
      <c r="H48" s="27"/>
      <c r="I48" s="21" t="s">
        <v>92</v>
      </c>
      <c r="J48" s="19" t="s">
        <v>179</v>
      </c>
      <c r="K48" s="19"/>
      <c r="L48" s="27" t="s">
        <v>597</v>
      </c>
    </row>
    <row r="49" spans="1:12" x14ac:dyDescent="0.3">
      <c r="A49" s="19"/>
      <c r="B49" s="19" t="s">
        <v>452</v>
      </c>
      <c r="C49" s="19" t="s">
        <v>455</v>
      </c>
      <c r="D49" s="19">
        <v>3</v>
      </c>
      <c r="E49" s="19"/>
      <c r="F49" s="38">
        <f t="shared" si="5"/>
        <v>3</v>
      </c>
      <c r="G49" s="24"/>
      <c r="H49" s="27"/>
      <c r="I49" s="21" t="s">
        <v>437</v>
      </c>
      <c r="J49" s="19" t="s">
        <v>179</v>
      </c>
      <c r="K49" s="19"/>
      <c r="L49" s="27"/>
    </row>
    <row r="50" spans="1:12" x14ac:dyDescent="0.3">
      <c r="A50" s="19"/>
      <c r="B50" s="19" t="s">
        <v>385</v>
      </c>
      <c r="C50" s="19" t="s">
        <v>388</v>
      </c>
      <c r="D50" s="19">
        <v>2</v>
      </c>
      <c r="E50" s="19">
        <v>1</v>
      </c>
      <c r="F50" s="38">
        <f t="shared" si="5"/>
        <v>3</v>
      </c>
      <c r="G50" s="24"/>
      <c r="H50" s="27"/>
      <c r="I50" s="21" t="s">
        <v>365</v>
      </c>
      <c r="J50" s="19" t="s">
        <v>179</v>
      </c>
      <c r="K50" s="19"/>
      <c r="L50" s="27"/>
    </row>
    <row r="51" spans="1:12" x14ac:dyDescent="0.3">
      <c r="A51" s="19"/>
      <c r="B51" s="19" t="s">
        <v>372</v>
      </c>
      <c r="C51" s="19" t="s">
        <v>377</v>
      </c>
      <c r="D51" s="19">
        <v>2</v>
      </c>
      <c r="E51" s="19">
        <v>1</v>
      </c>
      <c r="F51" s="38">
        <f t="shared" si="5"/>
        <v>3</v>
      </c>
      <c r="G51" s="24"/>
      <c r="H51" s="27"/>
      <c r="I51" s="21" t="s">
        <v>365</v>
      </c>
      <c r="J51" s="19" t="s">
        <v>179</v>
      </c>
      <c r="K51" s="19"/>
      <c r="L51" s="27"/>
    </row>
    <row r="52" spans="1:12" s="17" customFormat="1" x14ac:dyDescent="0.3">
      <c r="A52" s="57" t="s">
        <v>73</v>
      </c>
      <c r="B52" s="57"/>
      <c r="C52" s="57"/>
      <c r="D52" s="30">
        <f>SUM(D46:D51)</f>
        <v>16</v>
      </c>
      <c r="E52" s="30">
        <v>2</v>
      </c>
      <c r="F52" s="30">
        <f>SUM(D52:E52)</f>
        <v>18</v>
      </c>
      <c r="G52" s="25"/>
      <c r="H52" s="28"/>
      <c r="I52" s="22"/>
      <c r="J52" s="30"/>
      <c r="K52" s="30"/>
      <c r="L52" s="28"/>
    </row>
    <row r="53" spans="1:12" x14ac:dyDescent="0.3">
      <c r="A53" s="19"/>
      <c r="B53" s="19"/>
      <c r="C53" s="19"/>
      <c r="D53" s="19"/>
      <c r="E53" s="19"/>
      <c r="F53" s="19"/>
      <c r="G53" s="24"/>
      <c r="H53" s="27" t="s">
        <v>85</v>
      </c>
      <c r="I53" s="21"/>
      <c r="J53" s="19"/>
      <c r="K53" s="19"/>
      <c r="L53" s="27"/>
    </row>
    <row r="54" spans="1:12" x14ac:dyDescent="0.3">
      <c r="A54" s="19"/>
      <c r="B54" s="19" t="s">
        <v>53</v>
      </c>
      <c r="C54" s="19" t="s">
        <v>126</v>
      </c>
      <c r="D54" s="19">
        <v>6</v>
      </c>
      <c r="E54" s="19"/>
      <c r="F54" s="19">
        <f>SUM(D54)</f>
        <v>6</v>
      </c>
      <c r="G54" s="24"/>
      <c r="H54" s="27"/>
      <c r="I54" s="21" t="s">
        <v>92</v>
      </c>
      <c r="J54" s="19" t="s">
        <v>179</v>
      </c>
      <c r="K54" s="19"/>
      <c r="L54" s="27" t="s">
        <v>599</v>
      </c>
    </row>
    <row r="55" spans="1:12" s="17" customFormat="1" x14ac:dyDescent="0.3">
      <c r="A55" s="57" t="s">
        <v>73</v>
      </c>
      <c r="B55" s="57"/>
      <c r="C55" s="57"/>
      <c r="D55" s="30">
        <f>SUM(D54)</f>
        <v>6</v>
      </c>
      <c r="E55" s="30"/>
      <c r="F55" s="30"/>
      <c r="G55" s="25"/>
      <c r="H55" s="28"/>
      <c r="I55" s="22"/>
      <c r="J55" s="30"/>
      <c r="K55" s="30"/>
      <c r="L55" s="28"/>
    </row>
    <row r="56" spans="1:12" x14ac:dyDescent="0.3">
      <c r="A56" s="19"/>
      <c r="B56" s="19"/>
      <c r="C56" s="19"/>
      <c r="D56" s="19"/>
      <c r="E56" s="19"/>
      <c r="F56" s="19"/>
      <c r="G56" s="24" t="s">
        <v>158</v>
      </c>
      <c r="H56" s="27" t="s">
        <v>159</v>
      </c>
      <c r="I56" s="21"/>
      <c r="J56" s="19"/>
      <c r="K56" s="19"/>
      <c r="L56" s="27"/>
    </row>
    <row r="57" spans="1:12" x14ac:dyDescent="0.3">
      <c r="A57" s="19"/>
      <c r="B57" s="19" t="s">
        <v>54</v>
      </c>
      <c r="C57" s="19" t="s">
        <v>80</v>
      </c>
      <c r="D57" s="19">
        <v>3</v>
      </c>
      <c r="E57" s="19"/>
      <c r="F57" s="19">
        <f>SUM(D57:E57)</f>
        <v>3</v>
      </c>
      <c r="G57" s="24"/>
      <c r="H57" s="27"/>
      <c r="I57" s="21" t="s">
        <v>92</v>
      </c>
      <c r="J57" s="19" t="s">
        <v>179</v>
      </c>
      <c r="K57" s="19"/>
      <c r="L57" s="27" t="s">
        <v>591</v>
      </c>
    </row>
    <row r="58" spans="1:12" x14ac:dyDescent="0.3">
      <c r="A58" s="19"/>
      <c r="B58" s="19" t="s">
        <v>55</v>
      </c>
      <c r="C58" s="19" t="s">
        <v>350</v>
      </c>
      <c r="D58" s="19">
        <v>3</v>
      </c>
      <c r="E58" s="19"/>
      <c r="F58" s="38">
        <f t="shared" ref="F58:F62" si="6">SUM(D58:E58)</f>
        <v>3</v>
      </c>
      <c r="G58" s="24"/>
      <c r="H58" s="27"/>
      <c r="I58" s="21" t="s">
        <v>92</v>
      </c>
      <c r="J58" s="19" t="s">
        <v>179</v>
      </c>
      <c r="K58" s="19"/>
      <c r="L58" s="27" t="s">
        <v>591</v>
      </c>
    </row>
    <row r="59" spans="1:12" x14ac:dyDescent="0.3">
      <c r="A59" s="19"/>
      <c r="B59" s="19" t="s">
        <v>452</v>
      </c>
      <c r="C59" s="19" t="s">
        <v>455</v>
      </c>
      <c r="D59" s="19">
        <v>3</v>
      </c>
      <c r="E59" s="19"/>
      <c r="F59" s="38">
        <f t="shared" si="6"/>
        <v>3</v>
      </c>
      <c r="G59" s="24"/>
      <c r="H59" s="27"/>
      <c r="I59" s="21" t="s">
        <v>437</v>
      </c>
      <c r="J59" s="19" t="s">
        <v>179</v>
      </c>
      <c r="K59" s="19"/>
      <c r="L59" s="27"/>
    </row>
    <row r="60" spans="1:12" x14ac:dyDescent="0.3">
      <c r="A60" s="19"/>
      <c r="B60" s="19" t="s">
        <v>452</v>
      </c>
      <c r="C60" s="19" t="s">
        <v>455</v>
      </c>
      <c r="D60" s="19">
        <v>3</v>
      </c>
      <c r="E60" s="19"/>
      <c r="F60" s="38">
        <f t="shared" si="6"/>
        <v>3</v>
      </c>
      <c r="G60" s="24"/>
      <c r="H60" s="27"/>
      <c r="I60" s="21" t="s">
        <v>437</v>
      </c>
      <c r="J60" s="19" t="s">
        <v>179</v>
      </c>
      <c r="K60" s="19"/>
      <c r="L60" s="27"/>
    </row>
    <row r="61" spans="1:12" x14ac:dyDescent="0.3">
      <c r="A61" s="19"/>
      <c r="B61" s="19" t="s">
        <v>390</v>
      </c>
      <c r="C61" s="19" t="s">
        <v>393</v>
      </c>
      <c r="D61" s="19">
        <v>2</v>
      </c>
      <c r="E61" s="19">
        <v>1</v>
      </c>
      <c r="F61" s="38">
        <f t="shared" si="6"/>
        <v>3</v>
      </c>
      <c r="G61" s="24"/>
      <c r="H61" s="27"/>
      <c r="I61" s="21" t="s">
        <v>365</v>
      </c>
      <c r="J61" s="19" t="s">
        <v>179</v>
      </c>
      <c r="K61" s="19"/>
      <c r="L61" s="27"/>
    </row>
    <row r="62" spans="1:12" x14ac:dyDescent="0.3">
      <c r="A62" s="19"/>
      <c r="B62" s="19" t="s">
        <v>384</v>
      </c>
      <c r="C62" s="19" t="s">
        <v>387</v>
      </c>
      <c r="D62" s="19">
        <v>2</v>
      </c>
      <c r="E62" s="19">
        <v>1</v>
      </c>
      <c r="F62" s="38">
        <f t="shared" si="6"/>
        <v>3</v>
      </c>
      <c r="G62" s="24"/>
      <c r="H62" s="27"/>
      <c r="I62" s="21" t="s">
        <v>365</v>
      </c>
      <c r="J62" s="19" t="s">
        <v>179</v>
      </c>
      <c r="K62" s="19"/>
      <c r="L62" s="27"/>
    </row>
    <row r="63" spans="1:12" s="17" customFormat="1" x14ac:dyDescent="0.3">
      <c r="A63" s="57" t="s">
        <v>73</v>
      </c>
      <c r="B63" s="57"/>
      <c r="C63" s="57"/>
      <c r="D63" s="30">
        <f>SUM(D57:D62)</f>
        <v>16</v>
      </c>
      <c r="E63" s="30">
        <v>2</v>
      </c>
      <c r="F63" s="30">
        <f>SUM(D63:E63)</f>
        <v>18</v>
      </c>
      <c r="G63" s="25"/>
      <c r="H63" s="28"/>
      <c r="I63" s="22"/>
      <c r="J63" s="30"/>
      <c r="K63" s="30"/>
      <c r="L63" s="28"/>
    </row>
    <row r="64" spans="1:12" x14ac:dyDescent="0.3">
      <c r="A64" s="19"/>
      <c r="B64" s="19"/>
      <c r="C64" s="19"/>
      <c r="D64" s="19"/>
      <c r="E64" s="19"/>
      <c r="F64" s="19"/>
      <c r="G64" s="24"/>
      <c r="H64" s="27" t="s">
        <v>81</v>
      </c>
      <c r="I64" s="21"/>
      <c r="J64" s="19"/>
      <c r="K64" s="19"/>
      <c r="L64" s="27"/>
    </row>
    <row r="65" spans="1:12" x14ac:dyDescent="0.3">
      <c r="A65" s="19"/>
      <c r="B65" s="19" t="s">
        <v>61</v>
      </c>
      <c r="C65" s="19" t="s">
        <v>72</v>
      </c>
      <c r="D65" s="19">
        <v>2</v>
      </c>
      <c r="E65" s="19"/>
      <c r="F65" s="19">
        <f>SUM(D65:E65)</f>
        <v>2</v>
      </c>
      <c r="G65" s="24"/>
      <c r="H65" s="27"/>
      <c r="I65" s="21" t="s">
        <v>92</v>
      </c>
      <c r="J65" s="19" t="s">
        <v>179</v>
      </c>
      <c r="K65" s="19"/>
      <c r="L65" s="27" t="s">
        <v>591</v>
      </c>
    </row>
    <row r="66" spans="1:12" x14ac:dyDescent="0.3">
      <c r="A66" s="19"/>
      <c r="B66" s="19" t="s">
        <v>62</v>
      </c>
      <c r="C66" s="19" t="s">
        <v>355</v>
      </c>
      <c r="D66" s="19">
        <v>3</v>
      </c>
      <c r="E66" s="19"/>
      <c r="F66" s="38">
        <f t="shared" ref="F66:F71" si="7">SUM(D66:E66)</f>
        <v>3</v>
      </c>
      <c r="G66" s="24"/>
      <c r="H66" s="27"/>
      <c r="I66" s="21" t="s">
        <v>92</v>
      </c>
      <c r="J66" s="19" t="s">
        <v>179</v>
      </c>
      <c r="K66" s="19"/>
      <c r="L66" s="27" t="s">
        <v>591</v>
      </c>
    </row>
    <row r="67" spans="1:12" x14ac:dyDescent="0.3">
      <c r="A67" s="19"/>
      <c r="B67" s="19" t="s">
        <v>454</v>
      </c>
      <c r="C67" s="19" t="s">
        <v>455</v>
      </c>
      <c r="D67" s="19">
        <v>3</v>
      </c>
      <c r="E67" s="19"/>
      <c r="F67" s="38">
        <f t="shared" si="7"/>
        <v>3</v>
      </c>
      <c r="G67" s="24"/>
      <c r="H67" s="27"/>
      <c r="I67" s="21" t="s">
        <v>437</v>
      </c>
      <c r="J67" s="19" t="s">
        <v>179</v>
      </c>
      <c r="K67" s="19"/>
      <c r="L67" s="27"/>
    </row>
    <row r="68" spans="1:12" x14ac:dyDescent="0.3">
      <c r="A68" s="19"/>
      <c r="B68" s="19" t="s">
        <v>391</v>
      </c>
      <c r="C68" s="19" t="s">
        <v>392</v>
      </c>
      <c r="D68" s="19">
        <v>3</v>
      </c>
      <c r="E68" s="19">
        <v>1</v>
      </c>
      <c r="F68" s="38">
        <f t="shared" si="7"/>
        <v>4</v>
      </c>
      <c r="G68" s="24"/>
      <c r="H68" s="27"/>
      <c r="I68" s="21" t="s">
        <v>365</v>
      </c>
      <c r="J68" s="19" t="s">
        <v>179</v>
      </c>
      <c r="K68" s="19"/>
      <c r="L68" s="27"/>
    </row>
    <row r="69" spans="1:12" x14ac:dyDescent="0.3">
      <c r="A69" s="19"/>
      <c r="B69" s="19" t="s">
        <v>58</v>
      </c>
      <c r="C69" s="19" t="s">
        <v>324</v>
      </c>
      <c r="D69" s="19">
        <v>2</v>
      </c>
      <c r="E69" s="19"/>
      <c r="F69" s="38">
        <f t="shared" si="7"/>
        <v>2</v>
      </c>
      <c r="G69" s="24"/>
      <c r="H69" s="27"/>
      <c r="I69" s="21" t="s">
        <v>92</v>
      </c>
      <c r="J69" s="19" t="s">
        <v>179</v>
      </c>
      <c r="K69" s="19"/>
      <c r="L69" s="27"/>
    </row>
    <row r="70" spans="1:12" x14ac:dyDescent="0.3">
      <c r="A70" s="19"/>
      <c r="B70" s="19" t="s">
        <v>60</v>
      </c>
      <c r="C70" s="19" t="s">
        <v>327</v>
      </c>
      <c r="D70" s="19">
        <v>2</v>
      </c>
      <c r="E70" s="19"/>
      <c r="F70" s="38">
        <f t="shared" si="7"/>
        <v>2</v>
      </c>
      <c r="G70" s="24"/>
      <c r="H70" s="27"/>
      <c r="I70" s="21" t="s">
        <v>102</v>
      </c>
      <c r="J70" s="19" t="s">
        <v>179</v>
      </c>
      <c r="K70" s="19"/>
      <c r="L70" s="27"/>
    </row>
    <row r="71" spans="1:12" x14ac:dyDescent="0.3">
      <c r="A71" s="19"/>
      <c r="B71" s="19" t="s">
        <v>37</v>
      </c>
      <c r="C71" s="19" t="s">
        <v>115</v>
      </c>
      <c r="D71" s="19">
        <v>3</v>
      </c>
      <c r="E71" s="19"/>
      <c r="F71" s="38">
        <f t="shared" si="7"/>
        <v>3</v>
      </c>
      <c r="G71" s="24"/>
      <c r="H71" s="27"/>
      <c r="I71" s="21" t="s">
        <v>102</v>
      </c>
      <c r="J71" s="19" t="s">
        <v>179</v>
      </c>
      <c r="K71" s="19"/>
      <c r="L71" s="27"/>
    </row>
    <row r="72" spans="1:12" s="17" customFormat="1" x14ac:dyDescent="0.3">
      <c r="A72" s="57" t="s">
        <v>73</v>
      </c>
      <c r="B72" s="57"/>
      <c r="C72" s="57"/>
      <c r="D72" s="30">
        <f>SUM(D65:D71)</f>
        <v>18</v>
      </c>
      <c r="E72" s="30">
        <v>1</v>
      </c>
      <c r="F72" s="30">
        <f>SUM(D72:E72)</f>
        <v>19</v>
      </c>
      <c r="G72" s="25"/>
      <c r="H72" s="28"/>
      <c r="I72" s="22"/>
      <c r="J72" s="30"/>
      <c r="K72" s="30"/>
      <c r="L72" s="28"/>
    </row>
    <row r="73" spans="1:12" x14ac:dyDescent="0.3">
      <c r="A73" s="19"/>
      <c r="B73" s="19"/>
      <c r="C73" s="19"/>
      <c r="D73" s="19" t="s">
        <v>537</v>
      </c>
      <c r="E73" s="19"/>
      <c r="F73" s="19"/>
      <c r="G73" s="24"/>
      <c r="H73" s="27"/>
      <c r="I73" s="21"/>
      <c r="J73" s="19"/>
      <c r="K73" s="19"/>
      <c r="L73" s="27"/>
    </row>
    <row r="74" spans="1:12" x14ac:dyDescent="0.3">
      <c r="B74" s="38" t="s">
        <v>603</v>
      </c>
      <c r="C74" s="38"/>
    </row>
    <row r="75" spans="1:12" x14ac:dyDescent="0.3">
      <c r="A75" s="38" t="s">
        <v>608</v>
      </c>
      <c r="B75" s="38">
        <f>SUMIF(I4:I71,I5,F4:F71)</f>
        <v>11</v>
      </c>
    </row>
    <row r="76" spans="1:12" x14ac:dyDescent="0.3">
      <c r="A76" s="38" t="s">
        <v>623</v>
      </c>
      <c r="B76" s="38">
        <f>SUMIF(I2:I72,I32,F2:F72)</f>
        <v>42</v>
      </c>
    </row>
    <row r="77" spans="1:12" x14ac:dyDescent="0.3">
      <c r="A77" s="38" t="s">
        <v>624</v>
      </c>
      <c r="B77" s="38">
        <f>SUMIF(I2:I72,I68,F2:F72)</f>
        <v>43</v>
      </c>
    </row>
    <row r="78" spans="1:12" x14ac:dyDescent="0.3">
      <c r="A78" s="38" t="s">
        <v>92</v>
      </c>
      <c r="B78" s="38">
        <f>SUMIF(I2:I72,I66,F2:F72)</f>
        <v>55</v>
      </c>
    </row>
    <row r="79" spans="1:12" x14ac:dyDescent="0.3">
      <c r="A79" s="38" t="s">
        <v>610</v>
      </c>
      <c r="B79" s="38">
        <f>SUM(B75:B78)</f>
        <v>151</v>
      </c>
    </row>
    <row r="80" spans="1:12" x14ac:dyDescent="0.3">
      <c r="A80" s="38"/>
      <c r="B80" s="38"/>
    </row>
    <row r="81" spans="1:2" x14ac:dyDescent="0.3">
      <c r="A81" s="38"/>
      <c r="B81" s="38"/>
    </row>
    <row r="82" spans="1:2" x14ac:dyDescent="0.3">
      <c r="A82" s="38" t="s">
        <v>604</v>
      </c>
      <c r="B82" s="38"/>
    </row>
    <row r="83" spans="1:2" x14ac:dyDescent="0.3">
      <c r="A83" s="38" t="s">
        <v>605</v>
      </c>
      <c r="B83" s="38" t="s">
        <v>606</v>
      </c>
    </row>
    <row r="84" spans="1:2" x14ac:dyDescent="0.3">
      <c r="A84" s="38" t="s">
        <v>607</v>
      </c>
      <c r="B84" s="38" t="s">
        <v>606</v>
      </c>
    </row>
  </sheetData>
  <mergeCells count="11">
    <mergeCell ref="D1:F1"/>
    <mergeCell ref="A52:C52"/>
    <mergeCell ref="A55:C55"/>
    <mergeCell ref="A63:C63"/>
    <mergeCell ref="A72:C72"/>
    <mergeCell ref="D2:F2"/>
    <mergeCell ref="A10:C10"/>
    <mergeCell ref="A19:C19"/>
    <mergeCell ref="A27:C27"/>
    <mergeCell ref="A36:C36"/>
    <mergeCell ref="A44:C4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"/>
  <sheetViews>
    <sheetView topLeftCell="A70" zoomScaleNormal="100" workbookViewId="0">
      <selection activeCell="G96" sqref="G96"/>
    </sheetView>
  </sheetViews>
  <sheetFormatPr defaultRowHeight="14.4" x14ac:dyDescent="0.3"/>
  <cols>
    <col min="2" max="2" width="12.109375" bestFit="1" customWidth="1"/>
    <col min="3" max="3" width="51.5546875" bestFit="1" customWidth="1"/>
    <col min="4" max="4" width="20.33203125" bestFit="1" customWidth="1"/>
    <col min="5" max="5" width="10.33203125" style="1" bestFit="1" customWidth="1"/>
    <col min="6" max="6" width="10.33203125" style="2" customWidth="1"/>
    <col min="7" max="7" width="35.6640625" style="3" bestFit="1" customWidth="1"/>
    <col min="8" max="8" width="39.109375" bestFit="1" customWidth="1"/>
    <col min="9" max="9" width="5.6640625" bestFit="1" customWidth="1"/>
    <col min="10" max="10" width="109.33203125" style="2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/>
      <c r="G1" s="14" t="s">
        <v>6</v>
      </c>
      <c r="H1" s="11" t="s">
        <v>7</v>
      </c>
      <c r="I1" s="11" t="s">
        <v>8</v>
      </c>
      <c r="J1" s="13" t="s">
        <v>9</v>
      </c>
    </row>
    <row r="2" spans="1:10" x14ac:dyDescent="0.3">
      <c r="A2" s="11" t="s">
        <v>538</v>
      </c>
      <c r="B2" s="11" t="s">
        <v>10</v>
      </c>
      <c r="C2" s="11" t="s">
        <v>11</v>
      </c>
      <c r="D2" s="11" t="s">
        <v>12</v>
      </c>
      <c r="E2" s="12" t="s">
        <v>13</v>
      </c>
      <c r="F2" s="13" t="s">
        <v>14</v>
      </c>
      <c r="G2" s="14"/>
      <c r="H2" s="11"/>
      <c r="I2" s="11"/>
      <c r="J2" s="13"/>
    </row>
    <row r="3" spans="1:10" x14ac:dyDescent="0.3">
      <c r="A3" s="19"/>
      <c r="B3" s="19" t="s">
        <v>16</v>
      </c>
      <c r="C3" s="19" t="s">
        <v>87</v>
      </c>
      <c r="D3" s="19">
        <v>3</v>
      </c>
      <c r="E3" s="24"/>
      <c r="F3" s="27"/>
      <c r="G3" s="21" t="s">
        <v>92</v>
      </c>
      <c r="H3" s="19" t="s">
        <v>179</v>
      </c>
      <c r="I3" s="19"/>
      <c r="J3" s="27"/>
    </row>
    <row r="4" spans="1:10" x14ac:dyDescent="0.3">
      <c r="A4" s="19"/>
      <c r="B4" s="19" t="s">
        <v>17</v>
      </c>
      <c r="C4" s="19" t="s">
        <v>88</v>
      </c>
      <c r="D4" s="19">
        <v>3</v>
      </c>
      <c r="E4" s="24"/>
      <c r="F4" s="27"/>
      <c r="G4" s="21" t="s">
        <v>102</v>
      </c>
      <c r="H4" s="19" t="s">
        <v>179</v>
      </c>
      <c r="I4" s="19"/>
      <c r="J4" s="27"/>
    </row>
    <row r="5" spans="1:10" x14ac:dyDescent="0.3">
      <c r="A5" s="19"/>
      <c r="B5" s="19" t="s">
        <v>433</v>
      </c>
      <c r="C5" s="19" t="s">
        <v>435</v>
      </c>
      <c r="D5" s="19">
        <v>3</v>
      </c>
      <c r="E5" s="24"/>
      <c r="F5" s="27"/>
      <c r="G5" s="21" t="s">
        <v>437</v>
      </c>
      <c r="H5" s="19" t="s">
        <v>179</v>
      </c>
      <c r="I5" s="19"/>
      <c r="J5" s="27"/>
    </row>
    <row r="6" spans="1:10" x14ac:dyDescent="0.3">
      <c r="A6" s="19"/>
      <c r="B6" s="19" t="s">
        <v>434</v>
      </c>
      <c r="C6" s="19" t="s">
        <v>436</v>
      </c>
      <c r="D6" s="19">
        <v>3</v>
      </c>
      <c r="E6" s="24"/>
      <c r="F6" s="27"/>
      <c r="G6" s="21" t="s">
        <v>437</v>
      </c>
      <c r="H6" s="19" t="s">
        <v>179</v>
      </c>
      <c r="I6" s="19"/>
      <c r="J6" s="27"/>
    </row>
    <row r="7" spans="1:10" x14ac:dyDescent="0.3">
      <c r="A7" s="19"/>
      <c r="B7" s="19" t="s">
        <v>18</v>
      </c>
      <c r="C7" s="19" t="s">
        <v>89</v>
      </c>
      <c r="D7" s="19">
        <v>3</v>
      </c>
      <c r="E7" s="24"/>
      <c r="F7" s="27"/>
      <c r="G7" s="21" t="s">
        <v>93</v>
      </c>
      <c r="H7" s="19" t="s">
        <v>179</v>
      </c>
      <c r="I7" s="19"/>
      <c r="J7" s="27"/>
    </row>
    <row r="8" spans="1:10" x14ac:dyDescent="0.3">
      <c r="A8" s="19"/>
      <c r="B8" s="19" t="s">
        <v>19</v>
      </c>
      <c r="C8" s="19" t="s">
        <v>107</v>
      </c>
      <c r="D8" s="19">
        <v>3</v>
      </c>
      <c r="E8" s="24"/>
      <c r="F8" s="27"/>
      <c r="G8" s="21" t="s">
        <v>93</v>
      </c>
      <c r="H8" s="19" t="s">
        <v>179</v>
      </c>
      <c r="I8" s="19"/>
      <c r="J8" s="27"/>
    </row>
    <row r="9" spans="1:10" s="17" customFormat="1" x14ac:dyDescent="0.3">
      <c r="A9" s="57" t="s">
        <v>73</v>
      </c>
      <c r="B9" s="57"/>
      <c r="C9" s="57"/>
      <c r="D9" s="30">
        <f>SUM(D3:D8)</f>
        <v>18</v>
      </c>
      <c r="E9" s="25"/>
      <c r="F9" s="28"/>
      <c r="G9" s="22"/>
      <c r="H9" s="30"/>
      <c r="I9" s="30"/>
      <c r="J9" s="28"/>
    </row>
    <row r="10" spans="1:10" x14ac:dyDescent="0.3">
      <c r="A10" s="19"/>
      <c r="B10" s="19"/>
      <c r="C10" s="19"/>
      <c r="D10" s="19"/>
      <c r="E10" s="24"/>
      <c r="F10" s="27" t="s">
        <v>81</v>
      </c>
      <c r="G10" s="21"/>
      <c r="H10" s="19"/>
      <c r="I10" s="19"/>
      <c r="J10" s="27"/>
    </row>
    <row r="11" spans="1:10" x14ac:dyDescent="0.3">
      <c r="A11" s="19"/>
      <c r="B11" s="19" t="s">
        <v>22</v>
      </c>
      <c r="C11" s="19" t="s">
        <v>95</v>
      </c>
      <c r="D11" s="19">
        <v>2</v>
      </c>
      <c r="E11" s="24"/>
      <c r="F11" s="27"/>
      <c r="G11" s="21" t="s">
        <v>92</v>
      </c>
      <c r="H11" s="19" t="s">
        <v>179</v>
      </c>
      <c r="I11" s="19"/>
      <c r="J11" s="27"/>
    </row>
    <row r="12" spans="1:10" x14ac:dyDescent="0.3">
      <c r="A12" s="19"/>
      <c r="B12" s="19" t="s">
        <v>23</v>
      </c>
      <c r="C12" s="19" t="s">
        <v>96</v>
      </c>
      <c r="D12" s="19">
        <v>2</v>
      </c>
      <c r="E12" s="24"/>
      <c r="F12" s="27"/>
      <c r="G12" s="21" t="s">
        <v>92</v>
      </c>
      <c r="H12" s="19" t="s">
        <v>179</v>
      </c>
      <c r="I12" s="19"/>
      <c r="J12" s="27" t="s">
        <v>592</v>
      </c>
    </row>
    <row r="13" spans="1:10" x14ac:dyDescent="0.3">
      <c r="A13" s="19"/>
      <c r="B13" s="19" t="s">
        <v>439</v>
      </c>
      <c r="C13" s="19" t="s">
        <v>445</v>
      </c>
      <c r="D13" s="19">
        <v>3</v>
      </c>
      <c r="E13" s="24"/>
      <c r="F13" s="27"/>
      <c r="G13" s="21" t="s">
        <v>437</v>
      </c>
      <c r="H13" s="19" t="s">
        <v>179</v>
      </c>
      <c r="I13" s="19"/>
      <c r="J13" s="27"/>
    </row>
    <row r="14" spans="1:10" x14ac:dyDescent="0.3">
      <c r="A14" s="19"/>
      <c r="B14" s="19" t="s">
        <v>440</v>
      </c>
      <c r="C14" s="19" t="s">
        <v>446</v>
      </c>
      <c r="D14" s="19">
        <v>3</v>
      </c>
      <c r="E14" s="24"/>
      <c r="F14" s="27"/>
      <c r="G14" s="21" t="s">
        <v>437</v>
      </c>
      <c r="H14" s="19" t="s">
        <v>179</v>
      </c>
      <c r="I14" s="19"/>
      <c r="J14" s="27"/>
    </row>
    <row r="15" spans="1:10" x14ac:dyDescent="0.3">
      <c r="A15" s="19"/>
      <c r="B15" s="19" t="s">
        <v>26</v>
      </c>
      <c r="C15" s="19" t="s">
        <v>106</v>
      </c>
      <c r="D15" s="19">
        <v>3</v>
      </c>
      <c r="E15" s="24"/>
      <c r="F15" s="27"/>
      <c r="G15" s="21" t="s">
        <v>93</v>
      </c>
      <c r="H15" s="19" t="s">
        <v>179</v>
      </c>
      <c r="I15" s="19"/>
      <c r="J15" s="27"/>
    </row>
    <row r="16" spans="1:10" x14ac:dyDescent="0.3">
      <c r="A16" s="19"/>
      <c r="B16" s="19" t="s">
        <v>27</v>
      </c>
      <c r="C16" s="19" t="s">
        <v>99</v>
      </c>
      <c r="D16" s="19">
        <v>3</v>
      </c>
      <c r="E16" s="24"/>
      <c r="F16" s="27"/>
      <c r="G16" s="21" t="s">
        <v>93</v>
      </c>
      <c r="H16" s="19" t="s">
        <v>179</v>
      </c>
      <c r="I16" s="19"/>
      <c r="J16" s="27"/>
    </row>
    <row r="17" spans="1:10" x14ac:dyDescent="0.3">
      <c r="A17" s="19"/>
      <c r="B17" s="19" t="s">
        <v>29</v>
      </c>
      <c r="C17" s="19" t="s">
        <v>447</v>
      </c>
      <c r="D17" s="19">
        <v>2</v>
      </c>
      <c r="E17" s="24"/>
      <c r="F17" s="27"/>
      <c r="G17" s="21" t="s">
        <v>92</v>
      </c>
      <c r="H17" s="19" t="s">
        <v>179</v>
      </c>
      <c r="I17" s="19"/>
      <c r="J17" s="27"/>
    </row>
    <row r="18" spans="1:10" s="17" customFormat="1" x14ac:dyDescent="0.3">
      <c r="A18" s="57" t="s">
        <v>73</v>
      </c>
      <c r="B18" s="57"/>
      <c r="C18" s="57"/>
      <c r="D18" s="30">
        <f>SUM(D11:D17)</f>
        <v>18</v>
      </c>
      <c r="E18" s="25"/>
      <c r="F18" s="28"/>
      <c r="G18" s="22"/>
      <c r="H18" s="30"/>
      <c r="I18" s="30"/>
      <c r="J18" s="28"/>
    </row>
    <row r="19" spans="1:10" x14ac:dyDescent="0.3">
      <c r="A19" s="19"/>
      <c r="B19" s="19"/>
      <c r="C19" s="19"/>
      <c r="D19" s="19"/>
      <c r="E19" s="24" t="s">
        <v>83</v>
      </c>
      <c r="F19" s="27" t="s">
        <v>14</v>
      </c>
      <c r="G19" s="21"/>
      <c r="H19" s="19"/>
      <c r="I19" s="19"/>
      <c r="J19" s="27"/>
    </row>
    <row r="20" spans="1:10" x14ac:dyDescent="0.3">
      <c r="A20" s="19"/>
      <c r="B20" s="19" t="s">
        <v>30</v>
      </c>
      <c r="C20" s="19" t="s">
        <v>103</v>
      </c>
      <c r="D20" s="19">
        <v>3</v>
      </c>
      <c r="E20" s="24"/>
      <c r="F20" s="27"/>
      <c r="G20" s="21" t="s">
        <v>92</v>
      </c>
      <c r="H20" s="19" t="s">
        <v>179</v>
      </c>
      <c r="I20" s="19"/>
      <c r="J20" s="27" t="s">
        <v>594</v>
      </c>
    </row>
    <row r="21" spans="1:10" x14ac:dyDescent="0.3">
      <c r="A21" s="19"/>
      <c r="B21" s="19" t="s">
        <v>31</v>
      </c>
      <c r="C21" s="19" t="s">
        <v>406</v>
      </c>
      <c r="D21" s="19">
        <v>3</v>
      </c>
      <c r="E21" s="24"/>
      <c r="F21" s="27"/>
      <c r="G21" s="21" t="s">
        <v>92</v>
      </c>
      <c r="H21" s="19" t="s">
        <v>179</v>
      </c>
      <c r="I21" s="19"/>
      <c r="J21" s="27"/>
    </row>
    <row r="22" spans="1:10" x14ac:dyDescent="0.3">
      <c r="A22" s="19"/>
      <c r="B22" s="19" t="s">
        <v>441</v>
      </c>
      <c r="C22" s="19" t="s">
        <v>448</v>
      </c>
      <c r="D22" s="19">
        <v>3</v>
      </c>
      <c r="E22" s="24"/>
      <c r="F22" s="27"/>
      <c r="G22" s="21" t="s">
        <v>437</v>
      </c>
      <c r="H22" s="19" t="s">
        <v>179</v>
      </c>
      <c r="I22" s="19"/>
      <c r="J22" s="27"/>
    </row>
    <row r="23" spans="1:10" x14ac:dyDescent="0.3">
      <c r="A23" s="19"/>
      <c r="B23" s="19" t="s">
        <v>442</v>
      </c>
      <c r="C23" s="19" t="s">
        <v>449</v>
      </c>
      <c r="D23" s="19">
        <v>3</v>
      </c>
      <c r="E23" s="24"/>
      <c r="F23" s="27"/>
      <c r="G23" s="21" t="s">
        <v>437</v>
      </c>
      <c r="H23" s="19" t="s">
        <v>179</v>
      </c>
      <c r="I23" s="19"/>
      <c r="J23" s="27"/>
    </row>
    <row r="24" spans="1:10" x14ac:dyDescent="0.3">
      <c r="A24" s="19"/>
      <c r="B24" s="19" t="s">
        <v>82</v>
      </c>
      <c r="C24" s="19" t="s">
        <v>107</v>
      </c>
      <c r="D24" s="19">
        <v>3</v>
      </c>
      <c r="E24" s="24"/>
      <c r="F24" s="27"/>
      <c r="G24" s="21" t="s">
        <v>93</v>
      </c>
      <c r="H24" s="19" t="s">
        <v>179</v>
      </c>
      <c r="I24" s="19"/>
      <c r="J24" s="27"/>
    </row>
    <row r="25" spans="1:10" x14ac:dyDescent="0.3">
      <c r="A25" s="19"/>
      <c r="B25" s="19" t="s">
        <v>32</v>
      </c>
      <c r="C25" s="19" t="s">
        <v>105</v>
      </c>
      <c r="D25" s="19">
        <v>3</v>
      </c>
      <c r="E25" s="24"/>
      <c r="F25" s="27"/>
      <c r="G25" s="21" t="s">
        <v>93</v>
      </c>
      <c r="H25" s="19" t="s">
        <v>179</v>
      </c>
      <c r="I25" s="19"/>
      <c r="J25" s="27"/>
    </row>
    <row r="26" spans="1:10" s="17" customFormat="1" x14ac:dyDescent="0.3">
      <c r="A26" s="57" t="s">
        <v>73</v>
      </c>
      <c r="B26" s="57"/>
      <c r="C26" s="57"/>
      <c r="D26" s="30"/>
      <c r="E26" s="25"/>
      <c r="F26" s="28"/>
      <c r="G26" s="22"/>
      <c r="H26" s="30"/>
      <c r="I26" s="30"/>
      <c r="J26" s="28"/>
    </row>
    <row r="27" spans="1:10" s="54" customFormat="1" x14ac:dyDescent="0.3">
      <c r="A27" s="51"/>
      <c r="B27" s="51"/>
      <c r="C27" s="51"/>
      <c r="D27" s="51"/>
      <c r="E27" s="52"/>
      <c r="F27" s="46" t="s">
        <v>81</v>
      </c>
      <c r="G27" s="53"/>
      <c r="H27" s="51"/>
      <c r="I27" s="51"/>
      <c r="J27" s="46"/>
    </row>
    <row r="28" spans="1:10" x14ac:dyDescent="0.3">
      <c r="A28" s="19"/>
      <c r="B28" s="19" t="s">
        <v>35</v>
      </c>
      <c r="C28" s="19" t="s">
        <v>110</v>
      </c>
      <c r="D28" s="19">
        <v>3</v>
      </c>
      <c r="E28" s="24"/>
      <c r="F28" s="27"/>
      <c r="G28" s="21" t="s">
        <v>92</v>
      </c>
      <c r="H28" s="19" t="s">
        <v>179</v>
      </c>
      <c r="I28" s="19"/>
      <c r="J28" s="27" t="s">
        <v>595</v>
      </c>
    </row>
    <row r="29" spans="1:10" x14ac:dyDescent="0.3">
      <c r="A29" s="19"/>
      <c r="B29" s="19" t="s">
        <v>36</v>
      </c>
      <c r="C29" s="19" t="s">
        <v>316</v>
      </c>
      <c r="D29" s="19">
        <v>3</v>
      </c>
      <c r="E29" s="24"/>
      <c r="F29" s="27"/>
      <c r="G29" s="21" t="s">
        <v>92</v>
      </c>
      <c r="H29" s="19" t="s">
        <v>179</v>
      </c>
      <c r="I29" s="19"/>
      <c r="J29" s="27"/>
    </row>
    <row r="30" spans="1:10" x14ac:dyDescent="0.3">
      <c r="A30" s="19"/>
      <c r="B30" s="19" t="s">
        <v>443</v>
      </c>
      <c r="C30" s="19" t="s">
        <v>450</v>
      </c>
      <c r="D30" s="19">
        <v>3</v>
      </c>
      <c r="E30" s="24"/>
      <c r="F30" s="27"/>
      <c r="G30" s="21" t="s">
        <v>437</v>
      </c>
      <c r="H30" s="19" t="s">
        <v>179</v>
      </c>
      <c r="I30" s="19"/>
      <c r="J30" s="27"/>
    </row>
    <row r="31" spans="1:10" x14ac:dyDescent="0.3">
      <c r="A31" s="19"/>
      <c r="B31" s="19" t="s">
        <v>444</v>
      </c>
      <c r="C31" s="19" t="s">
        <v>451</v>
      </c>
      <c r="D31" s="19">
        <v>3</v>
      </c>
      <c r="E31" s="24"/>
      <c r="F31" s="27"/>
      <c r="G31" s="21" t="s">
        <v>437</v>
      </c>
      <c r="H31" s="19" t="s">
        <v>179</v>
      </c>
      <c r="I31" s="19"/>
      <c r="J31" s="27"/>
    </row>
    <row r="32" spans="1:10" x14ac:dyDescent="0.3">
      <c r="A32" s="19"/>
      <c r="B32" s="19" t="s">
        <v>38</v>
      </c>
      <c r="C32" s="19" t="s">
        <v>114</v>
      </c>
      <c r="D32" s="19">
        <v>3</v>
      </c>
      <c r="E32" s="24"/>
      <c r="F32" s="27"/>
      <c r="G32" s="21" t="s">
        <v>93</v>
      </c>
      <c r="H32" s="19" t="s">
        <v>179</v>
      </c>
      <c r="I32" s="19"/>
      <c r="J32" s="27"/>
    </row>
    <row r="33" spans="1:10" x14ac:dyDescent="0.3">
      <c r="A33" s="19"/>
      <c r="B33" s="19" t="s">
        <v>24</v>
      </c>
      <c r="C33" s="19" t="s">
        <v>142</v>
      </c>
      <c r="D33" s="19">
        <v>1</v>
      </c>
      <c r="E33" s="24"/>
      <c r="F33" s="27"/>
      <c r="G33" s="21" t="s">
        <v>102</v>
      </c>
      <c r="H33" s="19" t="s">
        <v>179</v>
      </c>
      <c r="I33" s="19"/>
      <c r="J33" s="27"/>
    </row>
    <row r="34" spans="1:10" x14ac:dyDescent="0.3">
      <c r="A34" s="19"/>
      <c r="B34" s="19" t="s">
        <v>25</v>
      </c>
      <c r="C34" s="19" t="s">
        <v>171</v>
      </c>
      <c r="D34" s="19">
        <v>2</v>
      </c>
      <c r="E34" s="24"/>
      <c r="F34" s="27"/>
      <c r="G34" s="21" t="s">
        <v>102</v>
      </c>
      <c r="H34" s="19" t="s">
        <v>179</v>
      </c>
      <c r="I34" s="19"/>
      <c r="J34" s="27"/>
    </row>
    <row r="35" spans="1:10" s="17" customFormat="1" x14ac:dyDescent="0.3">
      <c r="A35" s="57" t="s">
        <v>73</v>
      </c>
      <c r="B35" s="57"/>
      <c r="C35" s="57"/>
      <c r="D35" s="30">
        <f>SUM(D28:D34)</f>
        <v>18</v>
      </c>
      <c r="E35" s="25"/>
      <c r="F35" s="28"/>
      <c r="G35" s="22"/>
      <c r="H35" s="30"/>
      <c r="I35" s="30"/>
      <c r="J35" s="28"/>
    </row>
    <row r="36" spans="1:10" x14ac:dyDescent="0.3">
      <c r="A36" s="19"/>
      <c r="B36" s="19"/>
      <c r="C36" s="19"/>
      <c r="D36" s="19"/>
      <c r="E36" s="24" t="s">
        <v>539</v>
      </c>
      <c r="F36" s="27" t="s">
        <v>14</v>
      </c>
      <c r="G36" s="21"/>
      <c r="H36" s="19"/>
      <c r="I36" s="19"/>
      <c r="J36" s="27"/>
    </row>
    <row r="37" spans="1:10" x14ac:dyDescent="0.3">
      <c r="A37" s="19"/>
      <c r="B37" s="19" t="s">
        <v>41</v>
      </c>
      <c r="C37" s="19" t="s">
        <v>330</v>
      </c>
      <c r="D37" s="19">
        <v>3</v>
      </c>
      <c r="E37" s="24"/>
      <c r="F37" s="27"/>
      <c r="G37" s="21" t="s">
        <v>92</v>
      </c>
      <c r="H37" s="19" t="s">
        <v>179</v>
      </c>
      <c r="I37" s="19"/>
      <c r="J37" s="27" t="s">
        <v>596</v>
      </c>
    </row>
    <row r="38" spans="1:10" x14ac:dyDescent="0.3">
      <c r="A38" s="19"/>
      <c r="B38" s="19" t="s">
        <v>42</v>
      </c>
      <c r="C38" s="19" t="s">
        <v>329</v>
      </c>
      <c r="D38" s="19">
        <v>3</v>
      </c>
      <c r="E38" s="24"/>
      <c r="F38" s="27"/>
      <c r="G38" s="21" t="s">
        <v>92</v>
      </c>
      <c r="H38" s="19" t="s">
        <v>179</v>
      </c>
      <c r="I38" s="19"/>
      <c r="J38" s="27" t="s">
        <v>598</v>
      </c>
    </row>
    <row r="39" spans="1:10" x14ac:dyDescent="0.3">
      <c r="A39" s="19"/>
      <c r="B39" s="19" t="s">
        <v>452</v>
      </c>
      <c r="C39" s="19" t="s">
        <v>455</v>
      </c>
      <c r="D39" s="19">
        <v>3</v>
      </c>
      <c r="E39" s="24"/>
      <c r="F39" s="27"/>
      <c r="G39" s="21" t="s">
        <v>437</v>
      </c>
      <c r="H39" s="19" t="s">
        <v>179</v>
      </c>
      <c r="I39" s="19"/>
      <c r="J39" s="27"/>
    </row>
    <row r="40" spans="1:10" x14ac:dyDescent="0.3">
      <c r="A40" s="19"/>
      <c r="B40" s="19" t="s">
        <v>452</v>
      </c>
      <c r="C40" s="19" t="s">
        <v>455</v>
      </c>
      <c r="D40" s="19">
        <v>3</v>
      </c>
      <c r="E40" s="24"/>
      <c r="F40" s="27"/>
      <c r="G40" s="21" t="s">
        <v>437</v>
      </c>
      <c r="H40" s="19" t="s">
        <v>179</v>
      </c>
      <c r="I40" s="19"/>
      <c r="J40" s="27"/>
    </row>
    <row r="41" spans="1:10" x14ac:dyDescent="0.3">
      <c r="A41" s="19"/>
      <c r="B41" s="19" t="s">
        <v>43</v>
      </c>
      <c r="C41" s="19" t="s">
        <v>118</v>
      </c>
      <c r="D41" s="19">
        <v>3</v>
      </c>
      <c r="E41" s="24"/>
      <c r="F41" s="27"/>
      <c r="G41" s="21" t="s">
        <v>93</v>
      </c>
      <c r="H41" s="19" t="s">
        <v>179</v>
      </c>
      <c r="I41" s="19"/>
      <c r="J41" s="27"/>
    </row>
    <row r="42" spans="1:10" x14ac:dyDescent="0.3">
      <c r="A42" s="19"/>
      <c r="B42" s="19" t="s">
        <v>44</v>
      </c>
      <c r="C42" s="19" t="s">
        <v>138</v>
      </c>
      <c r="D42" s="19">
        <v>3</v>
      </c>
      <c r="E42" s="24"/>
      <c r="F42" s="27"/>
      <c r="G42" s="21" t="s">
        <v>93</v>
      </c>
      <c r="H42" s="19" t="s">
        <v>179</v>
      </c>
      <c r="I42" s="19"/>
      <c r="J42" s="27"/>
    </row>
    <row r="43" spans="1:10" s="17" customFormat="1" x14ac:dyDescent="0.3">
      <c r="A43" s="57" t="s">
        <v>73</v>
      </c>
      <c r="B43" s="57"/>
      <c r="C43" s="57"/>
      <c r="D43" s="30">
        <f>SUM(D37:D42)</f>
        <v>18</v>
      </c>
      <c r="E43" s="25"/>
      <c r="F43" s="28"/>
      <c r="G43" s="22"/>
      <c r="H43" s="30"/>
      <c r="I43" s="30"/>
      <c r="J43" s="28"/>
    </row>
    <row r="44" spans="1:10" x14ac:dyDescent="0.3">
      <c r="A44" s="19"/>
      <c r="B44" s="19"/>
      <c r="C44" s="19"/>
      <c r="D44" s="19"/>
      <c r="E44" s="24"/>
      <c r="F44" s="27" t="s">
        <v>81</v>
      </c>
      <c r="G44" s="21"/>
      <c r="H44" s="19"/>
      <c r="I44" s="19"/>
      <c r="J44" s="27"/>
    </row>
    <row r="45" spans="1:10" x14ac:dyDescent="0.3">
      <c r="A45" s="19"/>
      <c r="B45" s="19" t="s">
        <v>453</v>
      </c>
      <c r="C45" s="19" t="s">
        <v>457</v>
      </c>
      <c r="D45" s="19">
        <v>3</v>
      </c>
      <c r="E45" s="24"/>
      <c r="F45" s="27"/>
      <c r="G45" s="21" t="s">
        <v>92</v>
      </c>
      <c r="H45" s="19" t="s">
        <v>179</v>
      </c>
      <c r="I45" s="19"/>
      <c r="J45" s="27"/>
    </row>
    <row r="46" spans="1:10" x14ac:dyDescent="0.3">
      <c r="A46" s="19"/>
      <c r="B46" s="19" t="s">
        <v>383</v>
      </c>
      <c r="C46" s="19" t="s">
        <v>386</v>
      </c>
      <c r="D46" s="19">
        <v>3</v>
      </c>
      <c r="E46" s="24"/>
      <c r="F46" s="27"/>
      <c r="G46" s="21" t="s">
        <v>92</v>
      </c>
      <c r="H46" s="19" t="s">
        <v>179</v>
      </c>
      <c r="I46" s="19"/>
      <c r="J46" s="27"/>
    </row>
    <row r="47" spans="1:10" x14ac:dyDescent="0.3">
      <c r="A47" s="19"/>
      <c r="B47" s="19" t="s">
        <v>49</v>
      </c>
      <c r="C47" s="19" t="s">
        <v>338</v>
      </c>
      <c r="D47" s="19">
        <v>3</v>
      </c>
      <c r="E47" s="24"/>
      <c r="F47" s="27"/>
      <c r="G47" s="21" t="s">
        <v>92</v>
      </c>
      <c r="H47" s="19" t="s">
        <v>179</v>
      </c>
      <c r="I47" s="19"/>
      <c r="J47" s="27" t="s">
        <v>597</v>
      </c>
    </row>
    <row r="48" spans="1:10" x14ac:dyDescent="0.3">
      <c r="A48" s="19"/>
      <c r="B48" s="19" t="s">
        <v>452</v>
      </c>
      <c r="C48" s="19" t="s">
        <v>455</v>
      </c>
      <c r="D48" s="19">
        <v>3</v>
      </c>
      <c r="E48" s="24"/>
      <c r="F48" s="27"/>
      <c r="G48" s="21" t="s">
        <v>437</v>
      </c>
      <c r="H48" s="19" t="s">
        <v>179</v>
      </c>
      <c r="I48" s="19"/>
      <c r="J48" s="27"/>
    </row>
    <row r="49" spans="1:12" x14ac:dyDescent="0.3">
      <c r="A49" s="19"/>
      <c r="B49" s="19" t="s">
        <v>540</v>
      </c>
      <c r="C49" s="19" t="s">
        <v>115</v>
      </c>
      <c r="D49" s="19">
        <v>3</v>
      </c>
      <c r="E49" s="24"/>
      <c r="F49" s="27"/>
      <c r="G49" s="21" t="s">
        <v>102</v>
      </c>
      <c r="H49" s="19" t="s">
        <v>179</v>
      </c>
      <c r="I49" s="19"/>
      <c r="J49" s="27"/>
    </row>
    <row r="50" spans="1:12" x14ac:dyDescent="0.3">
      <c r="A50" s="19"/>
      <c r="B50" s="19" t="s">
        <v>50</v>
      </c>
      <c r="C50" s="19" t="s">
        <v>125</v>
      </c>
      <c r="D50" s="19">
        <v>3</v>
      </c>
      <c r="E50" s="24"/>
      <c r="F50" s="27"/>
      <c r="G50" s="21" t="s">
        <v>93</v>
      </c>
      <c r="H50" s="19" t="s">
        <v>179</v>
      </c>
      <c r="I50" s="19"/>
      <c r="J50" s="27"/>
    </row>
    <row r="51" spans="1:12" s="17" customFormat="1" x14ac:dyDescent="0.3">
      <c r="A51" s="57" t="s">
        <v>73</v>
      </c>
      <c r="B51" s="57"/>
      <c r="C51" s="57"/>
      <c r="D51" s="30">
        <f>SUM(D45:D50)</f>
        <v>18</v>
      </c>
      <c r="E51" s="25"/>
      <c r="F51" s="28"/>
      <c r="G51" s="22"/>
      <c r="H51" s="30"/>
      <c r="I51" s="30"/>
      <c r="J51" s="28"/>
    </row>
    <row r="52" spans="1:12" x14ac:dyDescent="0.3">
      <c r="A52" s="19"/>
      <c r="B52" s="19"/>
      <c r="C52" s="19"/>
      <c r="D52" s="19"/>
      <c r="E52" s="24"/>
      <c r="F52" s="27" t="s">
        <v>625</v>
      </c>
      <c r="G52" s="21"/>
      <c r="H52" s="19" t="s">
        <v>85</v>
      </c>
      <c r="I52" s="19"/>
      <c r="J52" s="27"/>
    </row>
    <row r="53" spans="1:12" x14ac:dyDescent="0.3">
      <c r="A53" s="19"/>
      <c r="B53" s="19" t="s">
        <v>53</v>
      </c>
      <c r="C53" s="19" t="s">
        <v>126</v>
      </c>
      <c r="D53" s="19">
        <v>6</v>
      </c>
      <c r="E53" s="24"/>
      <c r="F53" s="27"/>
      <c r="G53" s="21" t="s">
        <v>92</v>
      </c>
      <c r="H53" s="19"/>
      <c r="I53" s="19" t="s">
        <v>92</v>
      </c>
      <c r="J53" s="27" t="s">
        <v>179</v>
      </c>
      <c r="L53" t="s">
        <v>599</v>
      </c>
    </row>
    <row r="54" spans="1:12" s="17" customFormat="1" x14ac:dyDescent="0.3">
      <c r="A54" s="57" t="s">
        <v>73</v>
      </c>
      <c r="B54" s="57"/>
      <c r="C54" s="57"/>
      <c r="D54" s="30">
        <f>SUM(D53)</f>
        <v>6</v>
      </c>
      <c r="E54" s="25"/>
      <c r="F54" s="28"/>
      <c r="G54" s="22"/>
      <c r="H54" s="30"/>
      <c r="I54" s="30"/>
      <c r="J54" s="28"/>
    </row>
    <row r="55" spans="1:12" x14ac:dyDescent="0.3">
      <c r="A55" s="19"/>
      <c r="B55" s="19"/>
      <c r="C55" s="19"/>
      <c r="D55" s="19"/>
      <c r="E55" s="24" t="s">
        <v>158</v>
      </c>
      <c r="F55" s="27" t="s">
        <v>14</v>
      </c>
      <c r="G55" s="21"/>
      <c r="H55" s="19"/>
      <c r="I55" s="19"/>
      <c r="J55" s="27"/>
    </row>
    <row r="56" spans="1:12" x14ac:dyDescent="0.3">
      <c r="A56" s="19"/>
      <c r="B56" s="19" t="s">
        <v>54</v>
      </c>
      <c r="C56" s="19" t="s">
        <v>80</v>
      </c>
      <c r="D56" s="19">
        <v>3</v>
      </c>
      <c r="E56" s="24"/>
      <c r="F56" s="27"/>
      <c r="G56" s="21" t="s">
        <v>92</v>
      </c>
      <c r="H56" s="19" t="s">
        <v>179</v>
      </c>
      <c r="I56" s="19"/>
      <c r="J56" s="27" t="s">
        <v>591</v>
      </c>
    </row>
    <row r="57" spans="1:12" x14ac:dyDescent="0.3">
      <c r="A57" s="19"/>
      <c r="B57" s="19" t="s">
        <v>55</v>
      </c>
      <c r="C57" s="19" t="s">
        <v>350</v>
      </c>
      <c r="D57" s="19">
        <v>3</v>
      </c>
      <c r="E57" s="24"/>
      <c r="F57" s="27"/>
      <c r="G57" s="21" t="s">
        <v>92</v>
      </c>
      <c r="H57" s="19" t="s">
        <v>179</v>
      </c>
      <c r="I57" s="19"/>
      <c r="J57" s="27" t="s">
        <v>591</v>
      </c>
    </row>
    <row r="58" spans="1:12" x14ac:dyDescent="0.3">
      <c r="A58" s="19"/>
      <c r="B58" s="19" t="s">
        <v>452</v>
      </c>
      <c r="C58" s="19" t="s">
        <v>455</v>
      </c>
      <c r="D58" s="19">
        <v>3</v>
      </c>
      <c r="E58" s="24"/>
      <c r="F58" s="27"/>
      <c r="G58" s="21" t="s">
        <v>437</v>
      </c>
      <c r="H58" s="19" t="s">
        <v>179</v>
      </c>
      <c r="I58" s="19"/>
      <c r="J58" s="27"/>
    </row>
    <row r="59" spans="1:12" x14ac:dyDescent="0.3">
      <c r="A59" s="19"/>
      <c r="B59" s="19" t="s">
        <v>452</v>
      </c>
      <c r="C59" s="19" t="s">
        <v>455</v>
      </c>
      <c r="D59" s="19">
        <v>3</v>
      </c>
      <c r="E59" s="24"/>
      <c r="F59" s="27"/>
      <c r="G59" s="21" t="s">
        <v>437</v>
      </c>
      <c r="H59" s="19" t="s">
        <v>179</v>
      </c>
      <c r="I59" s="19"/>
      <c r="J59" s="27"/>
    </row>
    <row r="60" spans="1:12" x14ac:dyDescent="0.3">
      <c r="A60" s="19"/>
      <c r="B60" s="19" t="s">
        <v>56</v>
      </c>
      <c r="C60" s="19" t="s">
        <v>78</v>
      </c>
      <c r="D60" s="19">
        <v>3</v>
      </c>
      <c r="E60" s="24"/>
      <c r="F60" s="27"/>
      <c r="G60" s="21" t="s">
        <v>93</v>
      </c>
      <c r="H60" s="19" t="s">
        <v>179</v>
      </c>
      <c r="I60" s="19"/>
      <c r="J60" s="27"/>
    </row>
    <row r="61" spans="1:12" x14ac:dyDescent="0.3">
      <c r="A61" s="19"/>
      <c r="B61" s="19" t="s">
        <v>59</v>
      </c>
      <c r="C61" s="19" t="s">
        <v>75</v>
      </c>
      <c r="D61" s="19">
        <v>3</v>
      </c>
      <c r="E61" s="24"/>
      <c r="F61" s="27"/>
      <c r="G61" s="21" t="s">
        <v>213</v>
      </c>
      <c r="H61" s="19" t="s">
        <v>179</v>
      </c>
      <c r="I61" s="19"/>
      <c r="J61" s="27"/>
    </row>
    <row r="62" spans="1:12" s="17" customFormat="1" x14ac:dyDescent="0.3">
      <c r="A62" s="57" t="s">
        <v>73</v>
      </c>
      <c r="B62" s="57"/>
      <c r="C62" s="57"/>
      <c r="D62" s="30">
        <f>SUM(D56:D61)</f>
        <v>18</v>
      </c>
      <c r="E62" s="25"/>
      <c r="F62" s="28"/>
      <c r="G62" s="22"/>
      <c r="H62" s="30"/>
      <c r="I62" s="30"/>
      <c r="J62" s="28"/>
    </row>
    <row r="63" spans="1:12" x14ac:dyDescent="0.3">
      <c r="A63" s="19"/>
      <c r="B63" s="19"/>
      <c r="C63" s="19"/>
      <c r="D63" s="19"/>
      <c r="E63" s="24"/>
      <c r="F63" s="27" t="s">
        <v>81</v>
      </c>
      <c r="G63" s="21"/>
      <c r="H63" s="19"/>
      <c r="I63" s="19"/>
      <c r="J63" s="27"/>
    </row>
    <row r="64" spans="1:12" x14ac:dyDescent="0.3">
      <c r="A64" s="19"/>
      <c r="B64" s="19" t="s">
        <v>61</v>
      </c>
      <c r="C64" s="19" t="s">
        <v>72</v>
      </c>
      <c r="D64" s="19">
        <v>2</v>
      </c>
      <c r="E64" s="24"/>
      <c r="F64" s="27"/>
      <c r="G64" s="21" t="s">
        <v>92</v>
      </c>
      <c r="H64" s="19" t="s">
        <v>179</v>
      </c>
      <c r="I64" s="19"/>
      <c r="J64" s="27" t="s">
        <v>591</v>
      </c>
    </row>
    <row r="65" spans="1:10" x14ac:dyDescent="0.3">
      <c r="A65" s="19"/>
      <c r="B65" s="19" t="s">
        <v>62</v>
      </c>
      <c r="C65" s="19" t="s">
        <v>355</v>
      </c>
      <c r="D65" s="19">
        <v>3</v>
      </c>
      <c r="E65" s="24"/>
      <c r="F65" s="27"/>
      <c r="G65" s="21" t="s">
        <v>92</v>
      </c>
      <c r="H65" s="19" t="s">
        <v>179</v>
      </c>
      <c r="I65" s="19"/>
      <c r="J65" s="27" t="s">
        <v>591</v>
      </c>
    </row>
    <row r="66" spans="1:10" x14ac:dyDescent="0.3">
      <c r="A66" s="19"/>
      <c r="B66" s="19" t="s">
        <v>454</v>
      </c>
      <c r="C66" s="19" t="s">
        <v>455</v>
      </c>
      <c r="D66" s="19">
        <v>3</v>
      </c>
      <c r="E66" s="24"/>
      <c r="F66" s="27"/>
      <c r="G66" s="21" t="s">
        <v>437</v>
      </c>
      <c r="H66" s="19" t="s">
        <v>179</v>
      </c>
      <c r="I66" s="19"/>
      <c r="J66" s="27"/>
    </row>
    <row r="67" spans="1:10" x14ac:dyDescent="0.3">
      <c r="A67" s="19"/>
      <c r="B67" s="19" t="s">
        <v>63</v>
      </c>
      <c r="C67" s="19" t="s">
        <v>70</v>
      </c>
      <c r="D67" s="19">
        <v>3</v>
      </c>
      <c r="E67" s="24"/>
      <c r="F67" s="27"/>
      <c r="G67" s="21" t="s">
        <v>93</v>
      </c>
      <c r="H67" s="19" t="s">
        <v>179</v>
      </c>
      <c r="I67" s="19"/>
      <c r="J67" s="27"/>
    </row>
    <row r="68" spans="1:10" x14ac:dyDescent="0.3">
      <c r="A68" s="19"/>
      <c r="B68" s="19" t="s">
        <v>64</v>
      </c>
      <c r="C68" s="19" t="s">
        <v>69</v>
      </c>
      <c r="D68" s="19">
        <v>3</v>
      </c>
      <c r="E68" s="24"/>
      <c r="F68" s="27"/>
      <c r="G68" s="21" t="s">
        <v>93</v>
      </c>
      <c r="H68" s="19" t="s">
        <v>179</v>
      </c>
      <c r="I68" s="19"/>
      <c r="J68" s="27"/>
    </row>
    <row r="69" spans="1:10" x14ac:dyDescent="0.3">
      <c r="A69" s="19"/>
      <c r="B69" s="19" t="s">
        <v>58</v>
      </c>
      <c r="C69" s="19" t="s">
        <v>324</v>
      </c>
      <c r="D69" s="19">
        <v>2</v>
      </c>
      <c r="E69" s="24"/>
      <c r="F69" s="27"/>
      <c r="G69" s="21" t="s">
        <v>92</v>
      </c>
      <c r="H69" s="19" t="s">
        <v>179</v>
      </c>
      <c r="I69" s="19"/>
      <c r="J69" s="27"/>
    </row>
    <row r="70" spans="1:10" x14ac:dyDescent="0.3">
      <c r="A70" s="19"/>
      <c r="B70" s="19" t="s">
        <v>60</v>
      </c>
      <c r="C70" s="19" t="s">
        <v>327</v>
      </c>
      <c r="D70" s="19">
        <v>2</v>
      </c>
      <c r="E70" s="24"/>
      <c r="F70" s="27"/>
      <c r="G70" s="21" t="s">
        <v>102</v>
      </c>
      <c r="H70" s="19" t="s">
        <v>179</v>
      </c>
      <c r="I70" s="19"/>
      <c r="J70" s="27"/>
    </row>
    <row r="71" spans="1:10" s="17" customFormat="1" x14ac:dyDescent="0.3">
      <c r="A71" s="57" t="s">
        <v>73</v>
      </c>
      <c r="B71" s="57"/>
      <c r="C71" s="57"/>
      <c r="D71" s="30">
        <f>SUM(D64:D70)</f>
        <v>18</v>
      </c>
      <c r="E71" s="25"/>
      <c r="F71" s="28"/>
      <c r="G71" s="22"/>
      <c r="H71" s="30"/>
      <c r="I71" s="30"/>
      <c r="J71" s="28"/>
    </row>
    <row r="73" spans="1:10" x14ac:dyDescent="0.3">
      <c r="B73" s="38" t="s">
        <v>603</v>
      </c>
    </row>
    <row r="74" spans="1:10" x14ac:dyDescent="0.3">
      <c r="A74" s="38" t="s">
        <v>608</v>
      </c>
      <c r="B74" s="38">
        <f>SUMIF(G2:G70,G70,D2:D70)</f>
        <v>11</v>
      </c>
    </row>
    <row r="75" spans="1:10" x14ac:dyDescent="0.3">
      <c r="A75" s="38" t="s">
        <v>623</v>
      </c>
      <c r="B75" s="38">
        <f>SUMIF(G2:G70,G30,D2:D71)</f>
        <v>42</v>
      </c>
    </row>
    <row r="76" spans="1:10" x14ac:dyDescent="0.3">
      <c r="A76" s="38" t="s">
        <v>615</v>
      </c>
      <c r="B76" s="38">
        <f>SUMIF(G2:G71,G68,D2:D71)</f>
        <v>39</v>
      </c>
    </row>
    <row r="77" spans="1:10" x14ac:dyDescent="0.3">
      <c r="A77" s="38" t="s">
        <v>92</v>
      </c>
      <c r="B77" s="38">
        <f>SUMIF(G2:G72,G69,D2:D72)</f>
        <v>55</v>
      </c>
    </row>
    <row r="78" spans="1:10" x14ac:dyDescent="0.3">
      <c r="A78" s="38" t="s">
        <v>610</v>
      </c>
      <c r="B78" s="38">
        <f>SUM(B74:B77)</f>
        <v>147</v>
      </c>
    </row>
    <row r="79" spans="1:10" x14ac:dyDescent="0.3">
      <c r="A79" s="38"/>
      <c r="B79" s="38"/>
    </row>
    <row r="80" spans="1:10" x14ac:dyDescent="0.3">
      <c r="A80" s="38"/>
      <c r="B80" s="38"/>
    </row>
    <row r="81" spans="1:2" x14ac:dyDescent="0.3">
      <c r="A81" s="38" t="s">
        <v>604</v>
      </c>
      <c r="B81" s="38"/>
    </row>
    <row r="82" spans="1:2" x14ac:dyDescent="0.3">
      <c r="A82" s="38" t="s">
        <v>605</v>
      </c>
      <c r="B82" s="38" t="s">
        <v>606</v>
      </c>
    </row>
    <row r="83" spans="1:2" x14ac:dyDescent="0.3">
      <c r="A83" s="38" t="s">
        <v>607</v>
      </c>
      <c r="B83" s="38" t="s">
        <v>606</v>
      </c>
    </row>
  </sheetData>
  <mergeCells count="9">
    <mergeCell ref="A62:C62"/>
    <mergeCell ref="A71:C71"/>
    <mergeCell ref="A9:C9"/>
    <mergeCell ref="A18:C18"/>
    <mergeCell ref="A26:C26"/>
    <mergeCell ref="A35:C35"/>
    <mergeCell ref="A43:C43"/>
    <mergeCell ref="A54:C54"/>
    <mergeCell ref="A51:C5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opLeftCell="A52" zoomScaleNormal="100" workbookViewId="0">
      <selection activeCell="C78" sqref="C78"/>
    </sheetView>
  </sheetViews>
  <sheetFormatPr defaultRowHeight="14.4" x14ac:dyDescent="0.3"/>
  <cols>
    <col min="2" max="2" width="12.109375" bestFit="1" customWidth="1"/>
    <col min="3" max="3" width="44.109375" bestFit="1" customWidth="1"/>
    <col min="4" max="4" width="7.109375" bestFit="1" customWidth="1"/>
    <col min="5" max="5" width="4" bestFit="1" customWidth="1"/>
    <col min="6" max="6" width="5.44140625" bestFit="1" customWidth="1"/>
    <col min="7" max="7" width="10.33203125" style="1" bestFit="1" customWidth="1"/>
    <col min="8" max="8" width="14.88671875" style="2" bestFit="1" customWidth="1"/>
    <col min="9" max="9" width="30.44140625" style="3" bestFit="1" customWidth="1"/>
    <col min="10" max="10" width="39.109375" bestFit="1" customWidth="1"/>
    <col min="11" max="11" width="5.6640625" bestFit="1" customWidth="1"/>
    <col min="12" max="12" width="158.88671875" style="2" bestFit="1" customWidth="1"/>
  </cols>
  <sheetData>
    <row r="1" spans="1:12" x14ac:dyDescent="0.3">
      <c r="A1" s="11" t="s">
        <v>0</v>
      </c>
      <c r="B1" s="11" t="s">
        <v>1</v>
      </c>
      <c r="C1" s="11" t="s">
        <v>2</v>
      </c>
      <c r="D1" s="59" t="s">
        <v>3</v>
      </c>
      <c r="E1" s="59"/>
      <c r="F1" s="59"/>
      <c r="G1" s="12" t="s">
        <v>4</v>
      </c>
      <c r="H1" s="13" t="s">
        <v>5</v>
      </c>
      <c r="I1" s="14" t="s">
        <v>6</v>
      </c>
      <c r="J1" s="11" t="s">
        <v>7</v>
      </c>
      <c r="K1" s="11" t="s">
        <v>8</v>
      </c>
      <c r="L1" s="13" t="s">
        <v>9</v>
      </c>
    </row>
    <row r="2" spans="1:12" x14ac:dyDescent="0.3">
      <c r="A2" s="11" t="s">
        <v>541</v>
      </c>
      <c r="B2" s="11" t="s">
        <v>10</v>
      </c>
      <c r="C2" s="11" t="s">
        <v>11</v>
      </c>
      <c r="D2" s="59" t="s">
        <v>12</v>
      </c>
      <c r="E2" s="59"/>
      <c r="F2" s="59"/>
      <c r="G2" s="12" t="s">
        <v>13</v>
      </c>
      <c r="H2" s="13" t="s">
        <v>14</v>
      </c>
      <c r="I2" s="14"/>
      <c r="J2" s="11"/>
      <c r="K2" s="11"/>
      <c r="L2" s="13"/>
    </row>
    <row r="3" spans="1:12" x14ac:dyDescent="0.3">
      <c r="A3" s="11"/>
      <c r="B3" s="11"/>
      <c r="C3" s="11"/>
      <c r="D3" s="11" t="s">
        <v>282</v>
      </c>
      <c r="E3" s="11" t="s">
        <v>283</v>
      </c>
      <c r="F3" s="11" t="s">
        <v>284</v>
      </c>
      <c r="G3" s="12"/>
      <c r="H3" s="13"/>
      <c r="I3" s="14"/>
      <c r="J3" s="11"/>
      <c r="K3" s="11"/>
      <c r="L3" s="13"/>
    </row>
    <row r="4" spans="1:12" x14ac:dyDescent="0.3">
      <c r="A4" s="19"/>
      <c r="B4" s="19" t="s">
        <v>16</v>
      </c>
      <c r="C4" s="19" t="s">
        <v>87</v>
      </c>
      <c r="D4" s="19">
        <v>3</v>
      </c>
      <c r="E4" s="19"/>
      <c r="F4" s="19">
        <f>SUM(D4:E4)</f>
        <v>3</v>
      </c>
      <c r="G4" s="24"/>
      <c r="H4" s="27"/>
      <c r="I4" s="21" t="s">
        <v>92</v>
      </c>
      <c r="J4" s="19" t="s">
        <v>179</v>
      </c>
      <c r="K4" s="19"/>
      <c r="L4" s="27"/>
    </row>
    <row r="5" spans="1:12" x14ac:dyDescent="0.3">
      <c r="A5" s="19"/>
      <c r="B5" s="19" t="s">
        <v>17</v>
      </c>
      <c r="C5" s="19" t="s">
        <v>88</v>
      </c>
      <c r="D5" s="19">
        <v>3</v>
      </c>
      <c r="E5" s="19"/>
      <c r="F5" s="38">
        <f t="shared" ref="F5:F9" si="0">SUM(D5:E5)</f>
        <v>3</v>
      </c>
      <c r="G5" s="24"/>
      <c r="H5" s="27"/>
      <c r="I5" s="21" t="s">
        <v>102</v>
      </c>
      <c r="J5" s="19" t="s">
        <v>179</v>
      </c>
      <c r="K5" s="19"/>
      <c r="L5" s="27"/>
    </row>
    <row r="6" spans="1:12" x14ac:dyDescent="0.3">
      <c r="A6" s="19"/>
      <c r="B6" s="19" t="s">
        <v>285</v>
      </c>
      <c r="C6" s="19" t="s">
        <v>290</v>
      </c>
      <c r="D6" s="19">
        <v>2</v>
      </c>
      <c r="E6" s="19">
        <v>1</v>
      </c>
      <c r="F6" s="38">
        <f t="shared" si="0"/>
        <v>3</v>
      </c>
      <c r="G6" s="24"/>
      <c r="H6" s="27"/>
      <c r="I6" s="21" t="s">
        <v>295</v>
      </c>
      <c r="J6" s="19" t="s">
        <v>179</v>
      </c>
      <c r="K6" s="19"/>
      <c r="L6" s="27"/>
    </row>
    <row r="7" spans="1:12" x14ac:dyDescent="0.3">
      <c r="A7" s="19"/>
      <c r="B7" s="19" t="s">
        <v>286</v>
      </c>
      <c r="C7" s="19" t="s">
        <v>291</v>
      </c>
      <c r="D7" s="19">
        <v>2</v>
      </c>
      <c r="E7" s="19">
        <v>1</v>
      </c>
      <c r="F7" s="38">
        <f t="shared" si="0"/>
        <v>3</v>
      </c>
      <c r="G7" s="24"/>
      <c r="H7" s="27"/>
      <c r="I7" s="21" t="s">
        <v>295</v>
      </c>
      <c r="J7" s="19" t="s">
        <v>179</v>
      </c>
      <c r="K7" s="19"/>
      <c r="L7" s="27"/>
    </row>
    <row r="8" spans="1:12" x14ac:dyDescent="0.3">
      <c r="A8" s="19"/>
      <c r="B8" s="19" t="s">
        <v>361</v>
      </c>
      <c r="C8" s="19" t="s">
        <v>363</v>
      </c>
      <c r="D8" s="19">
        <v>2</v>
      </c>
      <c r="E8" s="19">
        <v>1</v>
      </c>
      <c r="F8" s="38">
        <f t="shared" si="0"/>
        <v>3</v>
      </c>
      <c r="G8" s="24"/>
      <c r="H8" s="27"/>
      <c r="I8" s="21" t="s">
        <v>365</v>
      </c>
      <c r="J8" s="19" t="s">
        <v>179</v>
      </c>
      <c r="K8" s="19"/>
      <c r="L8" s="27"/>
    </row>
    <row r="9" spans="1:12" x14ac:dyDescent="0.3">
      <c r="A9" s="19"/>
      <c r="B9" s="19" t="s">
        <v>360</v>
      </c>
      <c r="C9" s="19" t="s">
        <v>364</v>
      </c>
      <c r="D9" s="19">
        <v>2</v>
      </c>
      <c r="E9" s="19">
        <v>1</v>
      </c>
      <c r="F9" s="38">
        <f t="shared" si="0"/>
        <v>3</v>
      </c>
      <c r="G9" s="24"/>
      <c r="H9" s="27"/>
      <c r="I9" s="21" t="s">
        <v>365</v>
      </c>
      <c r="J9" s="19" t="s">
        <v>179</v>
      </c>
      <c r="K9" s="19"/>
      <c r="L9" s="27"/>
    </row>
    <row r="10" spans="1:12" s="17" customFormat="1" x14ac:dyDescent="0.3">
      <c r="A10" s="57" t="s">
        <v>73</v>
      </c>
      <c r="B10" s="57"/>
      <c r="C10" s="57"/>
      <c r="D10" s="30">
        <f>SUM(D4:D9)</f>
        <v>14</v>
      </c>
      <c r="E10" s="30">
        <v>4</v>
      </c>
      <c r="F10" s="30">
        <f>SUM(D10:E10)</f>
        <v>18</v>
      </c>
      <c r="G10" s="25"/>
      <c r="H10" s="28"/>
      <c r="I10" s="22"/>
      <c r="J10" s="30"/>
      <c r="K10" s="30"/>
      <c r="L10" s="28"/>
    </row>
    <row r="11" spans="1:12" x14ac:dyDescent="0.3">
      <c r="A11" s="19"/>
      <c r="B11" s="19"/>
      <c r="C11" s="19"/>
      <c r="D11" s="19"/>
      <c r="E11" s="19"/>
      <c r="F11" s="19"/>
      <c r="G11" s="24"/>
      <c r="H11" s="27" t="s">
        <v>215</v>
      </c>
      <c r="I11" s="21"/>
      <c r="J11" s="19"/>
      <c r="K11" s="19"/>
      <c r="L11" s="27"/>
    </row>
    <row r="12" spans="1:12" x14ac:dyDescent="0.3">
      <c r="A12" s="19"/>
      <c r="B12" s="19" t="s">
        <v>22</v>
      </c>
      <c r="C12" s="19" t="s">
        <v>95</v>
      </c>
      <c r="D12" s="19">
        <v>2</v>
      </c>
      <c r="E12" s="19"/>
      <c r="F12" s="19">
        <f>SUM(D12:E12)</f>
        <v>2</v>
      </c>
      <c r="G12" s="24"/>
      <c r="H12" s="27"/>
      <c r="I12" s="21" t="s">
        <v>92</v>
      </c>
      <c r="J12" s="19" t="s">
        <v>179</v>
      </c>
      <c r="K12" s="19"/>
      <c r="L12" s="27"/>
    </row>
    <row r="13" spans="1:12" x14ac:dyDescent="0.3">
      <c r="A13" s="19"/>
      <c r="B13" s="19" t="s">
        <v>23</v>
      </c>
      <c r="C13" s="19" t="s">
        <v>96</v>
      </c>
      <c r="D13" s="19">
        <v>2</v>
      </c>
      <c r="E13" s="19"/>
      <c r="F13" s="38">
        <f t="shared" ref="F13:F18" si="1">SUM(D13:E13)</f>
        <v>2</v>
      </c>
      <c r="G13" s="24"/>
      <c r="H13" s="27"/>
      <c r="I13" s="21" t="s">
        <v>92</v>
      </c>
      <c r="J13" s="19" t="s">
        <v>179</v>
      </c>
      <c r="K13" s="19"/>
      <c r="L13" s="27" t="s">
        <v>592</v>
      </c>
    </row>
    <row r="14" spans="1:12" x14ac:dyDescent="0.3">
      <c r="A14" s="19"/>
      <c r="B14" s="19" t="s">
        <v>297</v>
      </c>
      <c r="C14" s="19" t="s">
        <v>301</v>
      </c>
      <c r="D14" s="19">
        <v>2</v>
      </c>
      <c r="E14" s="19">
        <v>1</v>
      </c>
      <c r="F14" s="38">
        <f t="shared" si="1"/>
        <v>3</v>
      </c>
      <c r="G14" s="24"/>
      <c r="H14" s="27"/>
      <c r="I14" s="21" t="s">
        <v>295</v>
      </c>
      <c r="J14" s="19" t="s">
        <v>179</v>
      </c>
      <c r="K14" s="19"/>
      <c r="L14" s="27"/>
    </row>
    <row r="15" spans="1:12" x14ac:dyDescent="0.3">
      <c r="A15" s="19"/>
      <c r="B15" s="19" t="s">
        <v>438</v>
      </c>
      <c r="C15" s="19" t="s">
        <v>302</v>
      </c>
      <c r="D15" s="19">
        <v>2</v>
      </c>
      <c r="E15" s="19">
        <v>1</v>
      </c>
      <c r="F15" s="38">
        <f t="shared" si="1"/>
        <v>3</v>
      </c>
      <c r="G15" s="24"/>
      <c r="H15" s="27"/>
      <c r="I15" s="21" t="s">
        <v>295</v>
      </c>
      <c r="J15" s="19" t="s">
        <v>179</v>
      </c>
      <c r="K15" s="19"/>
      <c r="L15" s="27"/>
    </row>
    <row r="16" spans="1:12" x14ac:dyDescent="0.3">
      <c r="A16" s="19"/>
      <c r="B16" s="19" t="s">
        <v>366</v>
      </c>
      <c r="C16" s="19" t="s">
        <v>368</v>
      </c>
      <c r="D16" s="19">
        <v>2</v>
      </c>
      <c r="E16" s="19">
        <v>1</v>
      </c>
      <c r="F16" s="38">
        <f t="shared" si="1"/>
        <v>3</v>
      </c>
      <c r="G16" s="24"/>
      <c r="H16" s="27"/>
      <c r="I16" s="21" t="s">
        <v>365</v>
      </c>
      <c r="J16" s="19" t="s">
        <v>179</v>
      </c>
      <c r="K16" s="19"/>
      <c r="L16" s="27"/>
    </row>
    <row r="17" spans="1:12" x14ac:dyDescent="0.3">
      <c r="A17" s="19"/>
      <c r="B17" s="19" t="s">
        <v>367</v>
      </c>
      <c r="C17" s="19" t="s">
        <v>369</v>
      </c>
      <c r="D17" s="19">
        <v>2</v>
      </c>
      <c r="E17" s="19">
        <v>1</v>
      </c>
      <c r="F17" s="38">
        <f t="shared" si="1"/>
        <v>3</v>
      </c>
      <c r="G17" s="24"/>
      <c r="H17" s="27"/>
      <c r="I17" s="21" t="s">
        <v>365</v>
      </c>
      <c r="J17" s="19" t="s">
        <v>179</v>
      </c>
      <c r="K17" s="19"/>
      <c r="L17" s="27"/>
    </row>
    <row r="18" spans="1:12" x14ac:dyDescent="0.3">
      <c r="A18" s="19"/>
      <c r="B18" s="19" t="s">
        <v>29</v>
      </c>
      <c r="C18" s="19" t="s">
        <v>447</v>
      </c>
      <c r="D18" s="19">
        <v>2</v>
      </c>
      <c r="E18" s="19"/>
      <c r="F18" s="38">
        <f t="shared" si="1"/>
        <v>2</v>
      </c>
      <c r="G18" s="24"/>
      <c r="H18" s="27"/>
      <c r="I18" s="21" t="s">
        <v>92</v>
      </c>
      <c r="J18" s="19" t="s">
        <v>179</v>
      </c>
      <c r="K18" s="19"/>
      <c r="L18" s="27"/>
    </row>
    <row r="19" spans="1:12" s="17" customFormat="1" x14ac:dyDescent="0.3">
      <c r="A19" s="57" t="s">
        <v>73</v>
      </c>
      <c r="B19" s="57"/>
      <c r="C19" s="57"/>
      <c r="D19" s="30">
        <f>SUM(D12:D18)</f>
        <v>14</v>
      </c>
      <c r="E19" s="30">
        <v>4</v>
      </c>
      <c r="F19" s="30">
        <f>SUM(D19:E19)</f>
        <v>18</v>
      </c>
      <c r="G19" s="25"/>
      <c r="H19" s="28"/>
      <c r="I19" s="22"/>
      <c r="J19" s="30"/>
      <c r="K19" s="30"/>
      <c r="L19" s="28"/>
    </row>
    <row r="20" spans="1:12" x14ac:dyDescent="0.3">
      <c r="A20" s="19"/>
      <c r="B20" s="19"/>
      <c r="C20" s="19"/>
      <c r="D20" s="19"/>
      <c r="E20" s="19"/>
      <c r="F20" s="19"/>
      <c r="G20" s="24" t="s">
        <v>83</v>
      </c>
      <c r="H20" s="27" t="s">
        <v>14</v>
      </c>
      <c r="I20" s="21"/>
      <c r="J20" s="19"/>
      <c r="K20" s="19"/>
      <c r="L20" s="27"/>
    </row>
    <row r="21" spans="1:12" x14ac:dyDescent="0.3">
      <c r="A21" s="19"/>
      <c r="B21" s="19" t="s">
        <v>30</v>
      </c>
      <c r="C21" s="19" t="s">
        <v>103</v>
      </c>
      <c r="D21" s="19">
        <v>3</v>
      </c>
      <c r="E21" s="19"/>
      <c r="F21" s="19">
        <f>SUM(D21:E21)</f>
        <v>3</v>
      </c>
      <c r="G21" s="24"/>
      <c r="H21" s="27"/>
      <c r="I21" s="21" t="s">
        <v>92</v>
      </c>
      <c r="J21" s="19" t="s">
        <v>179</v>
      </c>
      <c r="K21" s="19"/>
      <c r="L21" s="27" t="s">
        <v>594</v>
      </c>
    </row>
    <row r="22" spans="1:12" x14ac:dyDescent="0.3">
      <c r="A22" s="19"/>
      <c r="B22" s="19" t="s">
        <v>60</v>
      </c>
      <c r="C22" s="19" t="s">
        <v>327</v>
      </c>
      <c r="D22" s="19">
        <v>2</v>
      </c>
      <c r="E22" s="19"/>
      <c r="F22" s="38">
        <f t="shared" ref="F22:F26" si="2">SUM(D22:E22)</f>
        <v>2</v>
      </c>
      <c r="G22" s="24"/>
      <c r="H22" s="27"/>
      <c r="I22" s="21" t="s">
        <v>102</v>
      </c>
      <c r="J22" s="19" t="s">
        <v>179</v>
      </c>
      <c r="K22" s="19"/>
      <c r="L22" s="27"/>
    </row>
    <row r="23" spans="1:12" x14ac:dyDescent="0.3">
      <c r="A23" s="19"/>
      <c r="B23" s="19" t="s">
        <v>305</v>
      </c>
      <c r="C23" s="19" t="s">
        <v>313</v>
      </c>
      <c r="D23" s="19">
        <v>3</v>
      </c>
      <c r="E23" s="19">
        <v>1</v>
      </c>
      <c r="F23" s="38">
        <f t="shared" si="2"/>
        <v>4</v>
      </c>
      <c r="G23" s="24"/>
      <c r="H23" s="27"/>
      <c r="I23" s="21" t="s">
        <v>295</v>
      </c>
      <c r="J23" s="19" t="s">
        <v>179</v>
      </c>
      <c r="K23" s="19"/>
      <c r="L23" s="27"/>
    </row>
    <row r="24" spans="1:12" x14ac:dyDescent="0.3">
      <c r="A24" s="19"/>
      <c r="B24" s="19" t="s">
        <v>306</v>
      </c>
      <c r="C24" s="19" t="s">
        <v>314</v>
      </c>
      <c r="D24" s="19">
        <v>3</v>
      </c>
      <c r="E24" s="19"/>
      <c r="F24" s="38">
        <f t="shared" si="2"/>
        <v>3</v>
      </c>
      <c r="G24" s="24"/>
      <c r="H24" s="27"/>
      <c r="I24" s="21" t="s">
        <v>295</v>
      </c>
      <c r="J24" s="19" t="s">
        <v>179</v>
      </c>
      <c r="K24" s="19"/>
      <c r="L24" s="27"/>
    </row>
    <row r="25" spans="1:12" x14ac:dyDescent="0.3">
      <c r="A25" s="19"/>
      <c r="B25" s="19" t="s">
        <v>370</v>
      </c>
      <c r="C25" s="19" t="s">
        <v>375</v>
      </c>
      <c r="D25" s="19">
        <v>3</v>
      </c>
      <c r="E25" s="19"/>
      <c r="F25" s="38">
        <f t="shared" si="2"/>
        <v>3</v>
      </c>
      <c r="G25" s="24"/>
      <c r="H25" s="27"/>
      <c r="I25" s="21" t="s">
        <v>365</v>
      </c>
      <c r="J25" s="19" t="s">
        <v>179</v>
      </c>
      <c r="K25" s="19"/>
      <c r="L25" s="27"/>
    </row>
    <row r="26" spans="1:12" x14ac:dyDescent="0.3">
      <c r="A26" s="19"/>
      <c r="B26" s="19" t="s">
        <v>371</v>
      </c>
      <c r="C26" s="19" t="s">
        <v>376</v>
      </c>
      <c r="D26" s="19">
        <v>2</v>
      </c>
      <c r="E26" s="19">
        <v>1</v>
      </c>
      <c r="F26" s="38">
        <f t="shared" si="2"/>
        <v>3</v>
      </c>
      <c r="G26" s="24"/>
      <c r="H26" s="27"/>
      <c r="I26" s="21" t="s">
        <v>365</v>
      </c>
      <c r="J26" s="19" t="s">
        <v>179</v>
      </c>
      <c r="K26" s="19"/>
      <c r="L26" s="27"/>
    </row>
    <row r="27" spans="1:12" s="17" customFormat="1" x14ac:dyDescent="0.3">
      <c r="A27" s="57" t="s">
        <v>73</v>
      </c>
      <c r="B27" s="57"/>
      <c r="C27" s="57"/>
      <c r="D27" s="30">
        <f>SUM(D21:D26)</f>
        <v>16</v>
      </c>
      <c r="E27" s="30">
        <v>2</v>
      </c>
      <c r="F27" s="30">
        <f>SUM(D27:E27)</f>
        <v>18</v>
      </c>
      <c r="G27" s="25"/>
      <c r="H27" s="28"/>
      <c r="I27" s="22"/>
      <c r="J27" s="30"/>
      <c r="K27" s="30"/>
      <c r="L27" s="28"/>
    </row>
    <row r="28" spans="1:12" x14ac:dyDescent="0.3">
      <c r="A28" s="19"/>
      <c r="B28" s="19"/>
      <c r="C28" s="19"/>
      <c r="D28" s="19"/>
      <c r="E28" s="19"/>
      <c r="F28" s="19"/>
      <c r="G28" s="24"/>
      <c r="H28" s="27" t="s">
        <v>215</v>
      </c>
      <c r="I28" s="21"/>
      <c r="J28" s="19"/>
      <c r="K28" s="19"/>
      <c r="L28" s="27"/>
    </row>
    <row r="29" spans="1:12" x14ac:dyDescent="0.3">
      <c r="A29" s="19"/>
      <c r="B29" s="19" t="s">
        <v>35</v>
      </c>
      <c r="C29" s="19" t="s">
        <v>110</v>
      </c>
      <c r="D29" s="19">
        <v>3</v>
      </c>
      <c r="E29" s="19"/>
      <c r="F29" s="19">
        <f>SUM(D29:E29)</f>
        <v>3</v>
      </c>
      <c r="G29" s="24"/>
      <c r="H29" s="27"/>
      <c r="I29" s="21" t="s">
        <v>92</v>
      </c>
      <c r="J29" s="19" t="s">
        <v>179</v>
      </c>
      <c r="K29" s="19"/>
      <c r="L29" s="27" t="s">
        <v>595</v>
      </c>
    </row>
    <row r="30" spans="1:12" x14ac:dyDescent="0.3">
      <c r="A30" s="19"/>
      <c r="B30" s="19" t="s">
        <v>36</v>
      </c>
      <c r="C30" s="19" t="s">
        <v>316</v>
      </c>
      <c r="D30" s="19">
        <v>3</v>
      </c>
      <c r="E30" s="19"/>
      <c r="F30" s="38">
        <f t="shared" ref="F30:F35" si="3">SUM(D30:E30)</f>
        <v>3</v>
      </c>
      <c r="G30" s="24"/>
      <c r="H30" s="27"/>
      <c r="I30" s="21" t="s">
        <v>92</v>
      </c>
      <c r="J30" s="19" t="s">
        <v>179</v>
      </c>
      <c r="K30" s="19"/>
      <c r="L30" s="27"/>
    </row>
    <row r="31" spans="1:12" x14ac:dyDescent="0.3">
      <c r="A31" s="19"/>
      <c r="B31" s="19" t="s">
        <v>24</v>
      </c>
      <c r="C31" s="19" t="s">
        <v>142</v>
      </c>
      <c r="D31" s="19">
        <v>1</v>
      </c>
      <c r="E31" s="19"/>
      <c r="F31" s="38">
        <f t="shared" si="3"/>
        <v>1</v>
      </c>
      <c r="G31" s="24"/>
      <c r="H31" s="27"/>
      <c r="I31" s="21" t="s">
        <v>102</v>
      </c>
      <c r="J31" s="19" t="s">
        <v>179</v>
      </c>
      <c r="K31" s="19"/>
      <c r="L31" s="27"/>
    </row>
    <row r="32" spans="1:12" x14ac:dyDescent="0.3">
      <c r="A32" s="19"/>
      <c r="B32" s="19" t="s">
        <v>309</v>
      </c>
      <c r="C32" s="19" t="s">
        <v>318</v>
      </c>
      <c r="D32" s="19">
        <v>2</v>
      </c>
      <c r="E32" s="19">
        <v>1</v>
      </c>
      <c r="F32" s="38">
        <f t="shared" si="3"/>
        <v>3</v>
      </c>
      <c r="G32" s="24"/>
      <c r="H32" s="27"/>
      <c r="I32" s="21" t="s">
        <v>295</v>
      </c>
      <c r="J32" s="19" t="s">
        <v>179</v>
      </c>
      <c r="K32" s="19"/>
      <c r="L32" s="27"/>
    </row>
    <row r="33" spans="1:12" x14ac:dyDescent="0.3">
      <c r="A33" s="19"/>
      <c r="B33" s="19" t="s">
        <v>310</v>
      </c>
      <c r="C33" s="19" t="s">
        <v>319</v>
      </c>
      <c r="D33" s="19">
        <v>3</v>
      </c>
      <c r="E33" s="19"/>
      <c r="F33" s="38">
        <f t="shared" si="3"/>
        <v>3</v>
      </c>
      <c r="G33" s="24"/>
      <c r="H33" s="27"/>
      <c r="I33" s="21" t="s">
        <v>295</v>
      </c>
      <c r="J33" s="19" t="s">
        <v>179</v>
      </c>
      <c r="K33" s="19"/>
      <c r="L33" s="27"/>
    </row>
    <row r="34" spans="1:12" x14ac:dyDescent="0.3">
      <c r="A34" s="19"/>
      <c r="B34" s="19" t="s">
        <v>25</v>
      </c>
      <c r="C34" s="19" t="s">
        <v>171</v>
      </c>
      <c r="D34" s="19">
        <v>2</v>
      </c>
      <c r="E34" s="19"/>
      <c r="F34" s="38">
        <f t="shared" si="3"/>
        <v>2</v>
      </c>
      <c r="G34" s="24"/>
      <c r="H34" s="27"/>
      <c r="I34" s="21" t="s">
        <v>102</v>
      </c>
      <c r="J34" s="19" t="s">
        <v>179</v>
      </c>
      <c r="K34" s="19"/>
      <c r="L34" s="27"/>
    </row>
    <row r="35" spans="1:12" x14ac:dyDescent="0.3">
      <c r="A35" s="19"/>
      <c r="B35" s="19" t="s">
        <v>373</v>
      </c>
      <c r="C35" s="19" t="s">
        <v>378</v>
      </c>
      <c r="D35" s="19">
        <v>3</v>
      </c>
      <c r="E35" s="19"/>
      <c r="F35" s="38">
        <f t="shared" si="3"/>
        <v>3</v>
      </c>
      <c r="G35" s="24"/>
      <c r="H35" s="27"/>
      <c r="I35" s="21" t="s">
        <v>365</v>
      </c>
      <c r="J35" s="19" t="s">
        <v>179</v>
      </c>
      <c r="K35" s="19"/>
      <c r="L35" s="27"/>
    </row>
    <row r="36" spans="1:12" s="17" customFormat="1" x14ac:dyDescent="0.3">
      <c r="A36" s="57" t="s">
        <v>73</v>
      </c>
      <c r="B36" s="57"/>
      <c r="C36" s="57"/>
      <c r="D36" s="30">
        <f>SUM(D29:D35)</f>
        <v>17</v>
      </c>
      <c r="E36" s="30">
        <v>1</v>
      </c>
      <c r="F36" s="30">
        <f>SUM(D36:E36)</f>
        <v>18</v>
      </c>
      <c r="G36" s="25"/>
      <c r="H36" s="28"/>
      <c r="I36" s="22"/>
      <c r="J36" s="30"/>
      <c r="K36" s="30"/>
      <c r="L36" s="28"/>
    </row>
    <row r="37" spans="1:12" x14ac:dyDescent="0.3">
      <c r="A37" s="19"/>
      <c r="B37" s="19"/>
      <c r="C37" s="19"/>
      <c r="D37" s="19"/>
      <c r="E37" s="19"/>
      <c r="F37" s="19"/>
      <c r="G37" s="24" t="s">
        <v>84</v>
      </c>
      <c r="H37" s="27" t="s">
        <v>14</v>
      </c>
      <c r="I37" s="21"/>
      <c r="J37" s="19"/>
      <c r="K37" s="19"/>
      <c r="L37" s="27"/>
    </row>
    <row r="38" spans="1:12" x14ac:dyDescent="0.3">
      <c r="A38" s="19"/>
      <c r="B38" s="19" t="s">
        <v>41</v>
      </c>
      <c r="C38" s="19" t="s">
        <v>330</v>
      </c>
      <c r="D38" s="19">
        <v>3</v>
      </c>
      <c r="E38" s="19"/>
      <c r="F38" s="19">
        <f>SUM(D38:E38)</f>
        <v>3</v>
      </c>
      <c r="G38" s="24"/>
      <c r="H38" s="27"/>
      <c r="I38" s="21" t="s">
        <v>92</v>
      </c>
      <c r="J38" s="19" t="s">
        <v>179</v>
      </c>
      <c r="K38" s="19"/>
      <c r="L38" s="27" t="s">
        <v>596</v>
      </c>
    </row>
    <row r="39" spans="1:12" x14ac:dyDescent="0.3">
      <c r="A39" s="19"/>
      <c r="B39" s="19" t="s">
        <v>42</v>
      </c>
      <c r="C39" s="19" t="s">
        <v>329</v>
      </c>
      <c r="D39" s="19">
        <v>3</v>
      </c>
      <c r="E39" s="19"/>
      <c r="F39" s="38">
        <f t="shared" ref="F39:F43" si="4">SUM(D39:E39)</f>
        <v>3</v>
      </c>
      <c r="G39" s="24"/>
      <c r="H39" s="27"/>
      <c r="I39" s="21" t="s">
        <v>92</v>
      </c>
      <c r="J39" s="19" t="s">
        <v>179</v>
      </c>
      <c r="K39" s="19"/>
      <c r="L39" s="27" t="s">
        <v>598</v>
      </c>
    </row>
    <row r="40" spans="1:12" x14ac:dyDescent="0.3">
      <c r="A40" s="19"/>
      <c r="B40" s="19" t="s">
        <v>322</v>
      </c>
      <c r="C40" s="19" t="s">
        <v>326</v>
      </c>
      <c r="D40" s="19">
        <v>2</v>
      </c>
      <c r="E40" s="19">
        <v>1</v>
      </c>
      <c r="F40" s="38">
        <f t="shared" si="4"/>
        <v>3</v>
      </c>
      <c r="G40" s="24"/>
      <c r="H40" s="27"/>
      <c r="I40" s="21" t="s">
        <v>295</v>
      </c>
      <c r="J40" s="19" t="s">
        <v>179</v>
      </c>
      <c r="K40" s="19"/>
      <c r="L40" s="27"/>
    </row>
    <row r="41" spans="1:12" x14ac:dyDescent="0.3">
      <c r="A41" s="19"/>
      <c r="B41" s="19" t="s">
        <v>542</v>
      </c>
      <c r="C41" s="19" t="s">
        <v>543</v>
      </c>
      <c r="D41" s="19">
        <v>3</v>
      </c>
      <c r="E41" s="19"/>
      <c r="F41" s="38">
        <f t="shared" si="4"/>
        <v>3</v>
      </c>
      <c r="G41" s="24"/>
      <c r="H41" s="27"/>
      <c r="I41" s="21" t="s">
        <v>92</v>
      </c>
      <c r="J41" s="19"/>
      <c r="K41" s="19"/>
      <c r="L41" s="27"/>
    </row>
    <row r="42" spans="1:12" x14ac:dyDescent="0.3">
      <c r="A42" s="19"/>
      <c r="B42" s="19" t="s">
        <v>379</v>
      </c>
      <c r="C42" s="19" t="s">
        <v>381</v>
      </c>
      <c r="D42" s="19">
        <v>2</v>
      </c>
      <c r="E42" s="19">
        <v>1</v>
      </c>
      <c r="F42" s="38">
        <f t="shared" si="4"/>
        <v>3</v>
      </c>
      <c r="G42" s="24"/>
      <c r="H42" s="27"/>
      <c r="I42" s="21" t="s">
        <v>365</v>
      </c>
      <c r="J42" s="19" t="s">
        <v>179</v>
      </c>
      <c r="K42" s="19"/>
      <c r="L42" s="27"/>
    </row>
    <row r="43" spans="1:12" x14ac:dyDescent="0.3">
      <c r="A43" s="19"/>
      <c r="B43" s="19" t="s">
        <v>62</v>
      </c>
      <c r="C43" s="19" t="s">
        <v>71</v>
      </c>
      <c r="D43" s="19">
        <v>3</v>
      </c>
      <c r="E43" s="19"/>
      <c r="F43" s="38">
        <f t="shared" si="4"/>
        <v>3</v>
      </c>
      <c r="G43" s="24"/>
      <c r="H43" s="27"/>
      <c r="I43" s="21" t="s">
        <v>92</v>
      </c>
      <c r="J43" s="19"/>
      <c r="K43" s="19"/>
      <c r="L43" s="27"/>
    </row>
    <row r="44" spans="1:12" s="17" customFormat="1" x14ac:dyDescent="0.3">
      <c r="A44" s="57" t="s">
        <v>73</v>
      </c>
      <c r="B44" s="57"/>
      <c r="C44" s="57"/>
      <c r="D44" s="30">
        <f>SUM(D38:D43)</f>
        <v>16</v>
      </c>
      <c r="E44" s="30">
        <v>2</v>
      </c>
      <c r="F44" s="30">
        <f>SUM(D44:E44)</f>
        <v>18</v>
      </c>
      <c r="G44" s="25"/>
      <c r="H44" s="28"/>
      <c r="I44" s="22"/>
      <c r="J44" s="30"/>
      <c r="K44" s="30"/>
      <c r="L44" s="28"/>
    </row>
    <row r="45" spans="1:12" x14ac:dyDescent="0.3">
      <c r="A45" s="19"/>
      <c r="B45" s="19"/>
      <c r="C45" s="19"/>
      <c r="D45" s="19"/>
      <c r="E45" s="19"/>
      <c r="F45" s="19"/>
      <c r="G45" s="24"/>
      <c r="H45" s="27" t="s">
        <v>215</v>
      </c>
      <c r="I45" s="21"/>
      <c r="J45" s="19"/>
      <c r="K45" s="19"/>
      <c r="L45" s="27"/>
    </row>
    <row r="46" spans="1:12" x14ac:dyDescent="0.3">
      <c r="A46" s="19"/>
      <c r="B46" s="19" t="s">
        <v>331</v>
      </c>
      <c r="C46" s="19" t="s">
        <v>340</v>
      </c>
      <c r="D46" s="19">
        <v>3</v>
      </c>
      <c r="E46" s="19"/>
      <c r="F46" s="19">
        <f>SUM(D46:E46)</f>
        <v>3</v>
      </c>
      <c r="G46" s="24"/>
      <c r="H46" s="27"/>
      <c r="I46" s="21" t="s">
        <v>92</v>
      </c>
      <c r="J46" s="19" t="s">
        <v>179</v>
      </c>
      <c r="K46" s="19"/>
      <c r="L46" s="27"/>
    </row>
    <row r="47" spans="1:12" x14ac:dyDescent="0.3">
      <c r="A47" s="19"/>
      <c r="B47" s="19" t="s">
        <v>383</v>
      </c>
      <c r="C47" s="19" t="s">
        <v>386</v>
      </c>
      <c r="D47" s="19">
        <v>3</v>
      </c>
      <c r="E47" s="19"/>
      <c r="F47" s="38">
        <f t="shared" ref="F47:F51" si="5">SUM(D47:E47)</f>
        <v>3</v>
      </c>
      <c r="G47" s="24"/>
      <c r="H47" s="27"/>
      <c r="I47" s="21" t="s">
        <v>92</v>
      </c>
      <c r="J47" s="19" t="s">
        <v>179</v>
      </c>
      <c r="K47" s="19"/>
      <c r="L47" s="27"/>
    </row>
    <row r="48" spans="1:12" x14ac:dyDescent="0.3">
      <c r="A48" s="19"/>
      <c r="B48" s="19" t="s">
        <v>49</v>
      </c>
      <c r="C48" s="19" t="s">
        <v>338</v>
      </c>
      <c r="D48" s="19">
        <v>3</v>
      </c>
      <c r="E48" s="19"/>
      <c r="F48" s="38">
        <f t="shared" si="5"/>
        <v>3</v>
      </c>
      <c r="G48" s="24"/>
      <c r="H48" s="27"/>
      <c r="I48" s="21" t="s">
        <v>92</v>
      </c>
      <c r="J48" s="19" t="s">
        <v>179</v>
      </c>
      <c r="K48" s="19"/>
      <c r="L48" s="27" t="s">
        <v>597</v>
      </c>
    </row>
    <row r="49" spans="1:12" x14ac:dyDescent="0.3">
      <c r="A49" s="19"/>
      <c r="B49" s="19" t="s">
        <v>333</v>
      </c>
      <c r="C49" s="19" t="s">
        <v>337</v>
      </c>
      <c r="D49" s="19">
        <v>3</v>
      </c>
      <c r="E49" s="19"/>
      <c r="F49" s="38">
        <f t="shared" si="5"/>
        <v>3</v>
      </c>
      <c r="G49" s="24"/>
      <c r="H49" s="27"/>
      <c r="I49" s="21" t="s">
        <v>295</v>
      </c>
      <c r="J49" s="19" t="s">
        <v>179</v>
      </c>
      <c r="K49" s="19"/>
      <c r="L49" s="27"/>
    </row>
    <row r="50" spans="1:12" x14ac:dyDescent="0.3">
      <c r="A50" s="19"/>
      <c r="B50" s="19" t="s">
        <v>464</v>
      </c>
      <c r="C50" s="19" t="s">
        <v>466</v>
      </c>
      <c r="D50" s="19">
        <v>2</v>
      </c>
      <c r="E50" s="19">
        <v>1</v>
      </c>
      <c r="F50" s="38">
        <f t="shared" si="5"/>
        <v>3</v>
      </c>
      <c r="G50" s="24"/>
      <c r="H50" s="27"/>
      <c r="I50" s="21" t="s">
        <v>295</v>
      </c>
      <c r="J50" s="19" t="s">
        <v>179</v>
      </c>
      <c r="K50" s="19"/>
      <c r="L50" s="27"/>
    </row>
    <row r="51" spans="1:12" x14ac:dyDescent="0.3">
      <c r="A51" s="19"/>
      <c r="B51" s="19" t="s">
        <v>384</v>
      </c>
      <c r="C51" s="19" t="s">
        <v>387</v>
      </c>
      <c r="D51" s="19">
        <v>2</v>
      </c>
      <c r="E51" s="19">
        <v>1</v>
      </c>
      <c r="F51" s="38">
        <f t="shared" si="5"/>
        <v>3</v>
      </c>
      <c r="G51" s="24"/>
      <c r="H51" s="27"/>
      <c r="I51" s="21" t="s">
        <v>365</v>
      </c>
      <c r="J51" s="19" t="s">
        <v>179</v>
      </c>
      <c r="K51" s="19"/>
      <c r="L51" s="27"/>
    </row>
    <row r="52" spans="1:12" s="17" customFormat="1" x14ac:dyDescent="0.3">
      <c r="A52" s="57" t="s">
        <v>73</v>
      </c>
      <c r="B52" s="57"/>
      <c r="C52" s="57"/>
      <c r="D52" s="30">
        <f>SUM(D46:D51)</f>
        <v>16</v>
      </c>
      <c r="E52" s="30">
        <v>2</v>
      </c>
      <c r="F52" s="30">
        <f>SUM(D52:E52)</f>
        <v>18</v>
      </c>
      <c r="G52" s="25"/>
      <c r="H52" s="28"/>
      <c r="I52" s="22"/>
      <c r="J52" s="30"/>
      <c r="K52" s="30"/>
      <c r="L52" s="28"/>
    </row>
    <row r="53" spans="1:12" x14ac:dyDescent="0.3">
      <c r="A53" s="19"/>
      <c r="B53" s="19"/>
      <c r="C53" s="19"/>
      <c r="D53" s="19"/>
      <c r="E53" s="19"/>
      <c r="F53" s="19"/>
      <c r="G53" s="24"/>
      <c r="H53" s="27" t="s">
        <v>85</v>
      </c>
      <c r="I53" s="21"/>
      <c r="J53" s="19"/>
      <c r="K53" s="19"/>
      <c r="L53" s="27"/>
    </row>
    <row r="54" spans="1:12" x14ac:dyDescent="0.3">
      <c r="A54" s="19"/>
      <c r="B54" s="19" t="s">
        <v>53</v>
      </c>
      <c r="C54" s="19" t="s">
        <v>126</v>
      </c>
      <c r="D54" s="19">
        <v>6</v>
      </c>
      <c r="E54" s="19"/>
      <c r="F54" s="19">
        <f>SUM(D54)</f>
        <v>6</v>
      </c>
      <c r="G54" s="24"/>
      <c r="H54" s="27"/>
      <c r="I54" s="21" t="s">
        <v>92</v>
      </c>
      <c r="J54" s="19" t="s">
        <v>179</v>
      </c>
      <c r="K54" s="19"/>
      <c r="L54" s="27" t="s">
        <v>599</v>
      </c>
    </row>
    <row r="55" spans="1:12" s="17" customFormat="1" x14ac:dyDescent="0.3">
      <c r="A55" s="57" t="s">
        <v>73</v>
      </c>
      <c r="B55" s="57"/>
      <c r="C55" s="57"/>
      <c r="D55" s="30">
        <f>SUM(D54)</f>
        <v>6</v>
      </c>
      <c r="E55" s="30"/>
      <c r="F55" s="30"/>
      <c r="G55" s="25"/>
      <c r="H55" s="28"/>
      <c r="I55" s="22"/>
      <c r="J55" s="30"/>
      <c r="K55" s="30"/>
      <c r="L55" s="28" t="s">
        <v>599</v>
      </c>
    </row>
    <row r="56" spans="1:12" x14ac:dyDescent="0.3">
      <c r="A56" s="19"/>
      <c r="B56" s="19"/>
      <c r="C56" s="19"/>
      <c r="D56" s="19"/>
      <c r="E56" s="19"/>
      <c r="F56" s="19"/>
      <c r="G56" s="24" t="s">
        <v>158</v>
      </c>
      <c r="H56" s="27" t="s">
        <v>159</v>
      </c>
      <c r="I56" s="21"/>
      <c r="J56" s="19"/>
      <c r="K56" s="19"/>
      <c r="L56" s="27"/>
    </row>
    <row r="57" spans="1:12" x14ac:dyDescent="0.3">
      <c r="A57" s="19"/>
      <c r="B57" s="19" t="s">
        <v>54</v>
      </c>
      <c r="C57" s="19" t="s">
        <v>80</v>
      </c>
      <c r="D57" s="19">
        <v>3</v>
      </c>
      <c r="E57" s="19"/>
      <c r="F57" s="19">
        <f>SUM(D57:E57)</f>
        <v>3</v>
      </c>
      <c r="G57" s="24"/>
      <c r="H57" s="27"/>
      <c r="I57" s="21" t="s">
        <v>92</v>
      </c>
      <c r="J57" s="19" t="s">
        <v>179</v>
      </c>
      <c r="K57" s="19"/>
      <c r="L57" s="27" t="s">
        <v>591</v>
      </c>
    </row>
    <row r="58" spans="1:12" x14ac:dyDescent="0.3">
      <c r="A58" s="19"/>
      <c r="B58" s="19" t="s">
        <v>55</v>
      </c>
      <c r="C58" s="19" t="s">
        <v>350</v>
      </c>
      <c r="D58" s="19">
        <v>3</v>
      </c>
      <c r="E58" s="19"/>
      <c r="F58" s="38">
        <f t="shared" ref="F58:F62" si="6">SUM(D58:E58)</f>
        <v>3</v>
      </c>
      <c r="G58" s="24"/>
      <c r="H58" s="27"/>
      <c r="I58" s="21" t="s">
        <v>92</v>
      </c>
      <c r="J58" s="19" t="s">
        <v>179</v>
      </c>
      <c r="K58" s="19"/>
      <c r="L58" s="27" t="s">
        <v>591</v>
      </c>
    </row>
    <row r="59" spans="1:12" x14ac:dyDescent="0.3">
      <c r="A59" s="19"/>
      <c r="B59" s="19" t="s">
        <v>342</v>
      </c>
      <c r="C59" s="19" t="s">
        <v>351</v>
      </c>
      <c r="D59" s="19">
        <v>2</v>
      </c>
      <c r="E59" s="19">
        <v>1</v>
      </c>
      <c r="F59" s="38">
        <f t="shared" si="6"/>
        <v>3</v>
      </c>
      <c r="G59" s="24"/>
      <c r="H59" s="27"/>
      <c r="I59" s="21" t="s">
        <v>295</v>
      </c>
      <c r="J59" s="19" t="s">
        <v>179</v>
      </c>
      <c r="K59" s="19"/>
      <c r="L59" s="27"/>
    </row>
    <row r="60" spans="1:12" x14ac:dyDescent="0.3">
      <c r="A60" s="19"/>
      <c r="B60" s="19" t="s">
        <v>343</v>
      </c>
      <c r="C60" s="19" t="s">
        <v>352</v>
      </c>
      <c r="D60" s="19">
        <v>2</v>
      </c>
      <c r="E60" s="19">
        <v>1</v>
      </c>
      <c r="F60" s="38">
        <f t="shared" si="6"/>
        <v>3</v>
      </c>
      <c r="G60" s="24"/>
      <c r="H60" s="27"/>
      <c r="I60" s="21" t="s">
        <v>295</v>
      </c>
      <c r="J60" s="19" t="s">
        <v>179</v>
      </c>
      <c r="K60" s="19"/>
      <c r="L60" s="27"/>
    </row>
    <row r="61" spans="1:12" x14ac:dyDescent="0.3">
      <c r="A61" s="19"/>
      <c r="B61" s="19" t="s">
        <v>390</v>
      </c>
      <c r="C61" s="19" t="s">
        <v>393</v>
      </c>
      <c r="D61" s="19">
        <v>2</v>
      </c>
      <c r="E61" s="19">
        <v>1</v>
      </c>
      <c r="F61" s="38">
        <f t="shared" si="6"/>
        <v>3</v>
      </c>
      <c r="G61" s="24"/>
      <c r="H61" s="27"/>
      <c r="I61" s="21" t="s">
        <v>365</v>
      </c>
      <c r="J61" s="19" t="s">
        <v>179</v>
      </c>
      <c r="K61" s="19"/>
      <c r="L61" s="27"/>
    </row>
    <row r="62" spans="1:12" x14ac:dyDescent="0.3">
      <c r="A62" s="19"/>
      <c r="B62" s="19" t="s">
        <v>385</v>
      </c>
      <c r="C62" s="19" t="s">
        <v>544</v>
      </c>
      <c r="D62" s="19">
        <v>2</v>
      </c>
      <c r="E62" s="19">
        <v>1</v>
      </c>
      <c r="F62" s="38">
        <f t="shared" si="6"/>
        <v>3</v>
      </c>
      <c r="G62" s="24"/>
      <c r="H62" s="27"/>
      <c r="I62" s="21" t="s">
        <v>365</v>
      </c>
      <c r="J62" s="19" t="s">
        <v>179</v>
      </c>
      <c r="K62" s="19"/>
      <c r="L62" s="27"/>
    </row>
    <row r="63" spans="1:12" s="17" customFormat="1" x14ac:dyDescent="0.3">
      <c r="A63" s="57" t="s">
        <v>73</v>
      </c>
      <c r="B63" s="57"/>
      <c r="C63" s="57"/>
      <c r="D63" s="30">
        <f>SUM(D57:D62)</f>
        <v>14</v>
      </c>
      <c r="E63" s="30">
        <v>4</v>
      </c>
      <c r="F63" s="30">
        <f>SUM(D63:E63)</f>
        <v>18</v>
      </c>
      <c r="G63" s="25"/>
      <c r="H63" s="28"/>
      <c r="I63" s="22"/>
      <c r="J63" s="30"/>
      <c r="K63" s="30"/>
      <c r="L63" s="28"/>
    </row>
    <row r="64" spans="1:12" x14ac:dyDescent="0.3">
      <c r="A64" s="19"/>
      <c r="B64" s="19"/>
      <c r="C64" s="19" t="s">
        <v>459</v>
      </c>
      <c r="D64" s="19"/>
      <c r="E64" s="19"/>
      <c r="F64" s="19"/>
      <c r="G64" s="24"/>
      <c r="H64" s="27"/>
      <c r="I64" s="21"/>
      <c r="J64" s="19"/>
      <c r="K64" s="19"/>
      <c r="L64" s="27"/>
    </row>
    <row r="65" spans="1:12" x14ac:dyDescent="0.3">
      <c r="A65" s="19"/>
      <c r="B65" s="19" t="s">
        <v>460</v>
      </c>
      <c r="C65" s="19" t="s">
        <v>462</v>
      </c>
      <c r="D65" s="19">
        <v>3</v>
      </c>
      <c r="E65" s="19"/>
      <c r="F65" s="19"/>
      <c r="G65" s="24"/>
      <c r="H65" s="27"/>
      <c r="I65" s="21" t="s">
        <v>295</v>
      </c>
      <c r="J65" s="19"/>
      <c r="K65" s="19"/>
      <c r="L65" s="27"/>
    </row>
    <row r="66" spans="1:12" x14ac:dyDescent="0.3">
      <c r="A66" s="19"/>
      <c r="B66" s="19" t="s">
        <v>461</v>
      </c>
      <c r="C66" s="19" t="s">
        <v>463</v>
      </c>
      <c r="D66" s="19">
        <v>3</v>
      </c>
      <c r="E66" s="19"/>
      <c r="F66" s="19"/>
      <c r="G66" s="24"/>
      <c r="H66" s="27"/>
      <c r="I66" s="21" t="s">
        <v>295</v>
      </c>
      <c r="J66" s="19"/>
      <c r="K66" s="19"/>
      <c r="L66" s="27"/>
    </row>
    <row r="67" spans="1:12" x14ac:dyDescent="0.3">
      <c r="A67" s="19"/>
      <c r="B67" s="19"/>
      <c r="C67" s="19"/>
      <c r="D67" s="19"/>
      <c r="E67" s="19"/>
      <c r="F67" s="19"/>
      <c r="G67" s="24"/>
      <c r="H67" s="27" t="s">
        <v>215</v>
      </c>
      <c r="I67" s="21"/>
      <c r="J67" s="19"/>
      <c r="K67" s="19"/>
      <c r="L67" s="27"/>
    </row>
    <row r="68" spans="1:12" x14ac:dyDescent="0.3">
      <c r="A68" s="19"/>
      <c r="B68" s="19" t="s">
        <v>61</v>
      </c>
      <c r="C68" s="19" t="s">
        <v>72</v>
      </c>
      <c r="D68" s="19">
        <v>2</v>
      </c>
      <c r="E68" s="19"/>
      <c r="F68" s="19">
        <f>SUM(D68:E68)</f>
        <v>2</v>
      </c>
      <c r="G68" s="24"/>
      <c r="H68" s="27"/>
      <c r="I68" s="21" t="s">
        <v>92</v>
      </c>
      <c r="J68" s="19" t="s">
        <v>179</v>
      </c>
      <c r="K68" s="19"/>
      <c r="L68" s="27" t="s">
        <v>591</v>
      </c>
    </row>
    <row r="69" spans="1:12" x14ac:dyDescent="0.3">
      <c r="A69" s="19"/>
      <c r="B69" s="19" t="s">
        <v>58</v>
      </c>
      <c r="C69" s="19" t="s">
        <v>545</v>
      </c>
      <c r="D69" s="19">
        <v>2</v>
      </c>
      <c r="E69" s="19"/>
      <c r="F69" s="38">
        <f t="shared" ref="F69:F73" si="7">SUM(D69:E69)</f>
        <v>2</v>
      </c>
      <c r="G69" s="24"/>
      <c r="H69" s="27"/>
      <c r="I69" s="21" t="s">
        <v>92</v>
      </c>
      <c r="J69" s="19" t="s">
        <v>179</v>
      </c>
      <c r="K69" s="19"/>
      <c r="L69" s="27" t="s">
        <v>591</v>
      </c>
    </row>
    <row r="70" spans="1:12" x14ac:dyDescent="0.3">
      <c r="A70" s="19"/>
      <c r="B70" s="19" t="s">
        <v>346</v>
      </c>
      <c r="C70" s="19" t="s">
        <v>356</v>
      </c>
      <c r="D70" s="19">
        <v>3</v>
      </c>
      <c r="E70" s="19"/>
      <c r="F70" s="38">
        <f t="shared" si="7"/>
        <v>3</v>
      </c>
      <c r="G70" s="24"/>
      <c r="H70" s="27"/>
      <c r="I70" s="21" t="s">
        <v>295</v>
      </c>
      <c r="J70" s="19" t="s">
        <v>179</v>
      </c>
      <c r="K70" s="19"/>
      <c r="L70" s="27"/>
    </row>
    <row r="71" spans="1:12" x14ac:dyDescent="0.3">
      <c r="A71" s="19"/>
      <c r="B71" s="19" t="s">
        <v>391</v>
      </c>
      <c r="C71" s="19" t="s">
        <v>392</v>
      </c>
      <c r="D71" s="19">
        <v>4</v>
      </c>
      <c r="E71" s="19">
        <v>1</v>
      </c>
      <c r="F71" s="38">
        <f t="shared" si="7"/>
        <v>5</v>
      </c>
      <c r="G71" s="24"/>
      <c r="H71" s="27"/>
      <c r="I71" s="21" t="s">
        <v>365</v>
      </c>
      <c r="J71" s="19" t="s">
        <v>179</v>
      </c>
      <c r="K71" s="19"/>
      <c r="L71" s="27"/>
    </row>
    <row r="72" spans="1:12" x14ac:dyDescent="0.3">
      <c r="A72" s="19"/>
      <c r="B72" s="19" t="s">
        <v>37</v>
      </c>
      <c r="C72" s="19" t="s">
        <v>465</v>
      </c>
      <c r="D72" s="19">
        <v>3</v>
      </c>
      <c r="E72" s="19"/>
      <c r="F72" s="38">
        <f t="shared" si="7"/>
        <v>3</v>
      </c>
      <c r="G72" s="24"/>
      <c r="H72" s="27"/>
      <c r="I72" s="21" t="s">
        <v>102</v>
      </c>
      <c r="J72" s="19" t="s">
        <v>179</v>
      </c>
      <c r="K72" s="19"/>
      <c r="L72" s="27"/>
    </row>
    <row r="73" spans="1:12" x14ac:dyDescent="0.3">
      <c r="A73" s="19"/>
      <c r="B73" s="19" t="s">
        <v>372</v>
      </c>
      <c r="C73" s="19" t="s">
        <v>377</v>
      </c>
      <c r="D73" s="19">
        <v>2</v>
      </c>
      <c r="E73" s="19">
        <v>1</v>
      </c>
      <c r="F73" s="38">
        <f t="shared" si="7"/>
        <v>3</v>
      </c>
      <c r="G73" s="24"/>
      <c r="H73" s="27"/>
      <c r="I73" s="21" t="s">
        <v>365</v>
      </c>
      <c r="J73" s="19" t="s">
        <v>179</v>
      </c>
      <c r="K73" s="19"/>
      <c r="L73" s="27"/>
    </row>
    <row r="74" spans="1:12" s="17" customFormat="1" x14ac:dyDescent="0.3">
      <c r="A74" s="57" t="s">
        <v>73</v>
      </c>
      <c r="B74" s="57"/>
      <c r="C74" s="57"/>
      <c r="D74" s="30">
        <f>SUM(D68:D73)</f>
        <v>16</v>
      </c>
      <c r="E74" s="30">
        <v>2</v>
      </c>
      <c r="F74" s="30">
        <f>SUM(D74:E74)</f>
        <v>18</v>
      </c>
      <c r="G74" s="25"/>
      <c r="H74" s="28"/>
      <c r="I74" s="22"/>
      <c r="J74" s="30"/>
      <c r="K74" s="30"/>
      <c r="L74" s="28"/>
    </row>
    <row r="76" spans="1:12" x14ac:dyDescent="0.3">
      <c r="B76" s="38" t="s">
        <v>603</v>
      </c>
    </row>
    <row r="77" spans="1:12" x14ac:dyDescent="0.3">
      <c r="A77" s="38" t="s">
        <v>608</v>
      </c>
      <c r="B77" s="38">
        <f>SUMIF(I2:I73,I72,F2:F73)</f>
        <v>11</v>
      </c>
    </row>
    <row r="78" spans="1:12" x14ac:dyDescent="0.3">
      <c r="A78" s="38" t="s">
        <v>618</v>
      </c>
      <c r="B78" s="38">
        <f>SUMIF(I2:I73,I70,F2:F74)</f>
        <v>43</v>
      </c>
    </row>
    <row r="79" spans="1:12" x14ac:dyDescent="0.3">
      <c r="A79" s="38" t="s">
        <v>624</v>
      </c>
      <c r="B79" s="38">
        <f>SUMIF(I2:I73,I71,F2:F73)</f>
        <v>41</v>
      </c>
    </row>
    <row r="80" spans="1:12" x14ac:dyDescent="0.3">
      <c r="A80" s="38" t="s">
        <v>92</v>
      </c>
      <c r="B80" s="38">
        <f>SUMIF(I2:I73,I68,F2:F73)</f>
        <v>55</v>
      </c>
    </row>
    <row r="81" spans="1:2" x14ac:dyDescent="0.3">
      <c r="A81" s="38" t="s">
        <v>610</v>
      </c>
      <c r="B81" s="38">
        <f>SUM(B77:B80)</f>
        <v>150</v>
      </c>
    </row>
    <row r="82" spans="1:2" x14ac:dyDescent="0.3">
      <c r="A82" s="38"/>
      <c r="B82" s="38"/>
    </row>
    <row r="83" spans="1:2" x14ac:dyDescent="0.3">
      <c r="A83" s="38"/>
      <c r="B83" s="38"/>
    </row>
    <row r="84" spans="1:2" x14ac:dyDescent="0.3">
      <c r="A84" s="38" t="s">
        <v>604</v>
      </c>
      <c r="B84" s="38"/>
    </row>
    <row r="85" spans="1:2" x14ac:dyDescent="0.3">
      <c r="A85" s="38" t="s">
        <v>605</v>
      </c>
      <c r="B85" s="38" t="s">
        <v>606</v>
      </c>
    </row>
    <row r="86" spans="1:2" x14ac:dyDescent="0.3">
      <c r="A86" s="38" t="s">
        <v>607</v>
      </c>
      <c r="B86" s="38" t="s">
        <v>606</v>
      </c>
    </row>
  </sheetData>
  <mergeCells count="11">
    <mergeCell ref="D1:F1"/>
    <mergeCell ref="A52:C52"/>
    <mergeCell ref="A55:C55"/>
    <mergeCell ref="A63:C63"/>
    <mergeCell ref="A74:C74"/>
    <mergeCell ref="D2:F2"/>
    <mergeCell ref="A10:C10"/>
    <mergeCell ref="A19:C19"/>
    <mergeCell ref="A27:C27"/>
    <mergeCell ref="A36:C36"/>
    <mergeCell ref="A44:C4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"/>
  <sheetViews>
    <sheetView topLeftCell="A73" zoomScaleNormal="100" workbookViewId="0">
      <selection activeCell="I99" sqref="I99"/>
    </sheetView>
  </sheetViews>
  <sheetFormatPr defaultRowHeight="14.4" x14ac:dyDescent="0.3"/>
  <cols>
    <col min="2" max="2" width="12.109375" bestFit="1" customWidth="1"/>
    <col min="3" max="3" width="44.109375" bestFit="1" customWidth="1"/>
    <col min="4" max="4" width="12.5546875" customWidth="1"/>
    <col min="5" max="5" width="15.33203125" customWidth="1"/>
    <col min="6" max="6" width="12.44140625" customWidth="1"/>
    <col min="7" max="7" width="10.33203125" style="1" bestFit="1" customWidth="1"/>
    <col min="8" max="8" width="14.88671875" style="2" bestFit="1" customWidth="1"/>
    <col min="9" max="9" width="30.44140625" style="3" bestFit="1" customWidth="1"/>
    <col min="10" max="10" width="39.109375" bestFit="1" customWidth="1"/>
    <col min="11" max="11" width="5.6640625" bestFit="1" customWidth="1"/>
    <col min="12" max="12" width="158.88671875" style="2" bestFit="1" customWidth="1"/>
  </cols>
  <sheetData>
    <row r="1" spans="1:12" x14ac:dyDescent="0.3">
      <c r="A1" s="11" t="s">
        <v>0</v>
      </c>
      <c r="B1" s="11" t="s">
        <v>1</v>
      </c>
      <c r="C1" s="11" t="s">
        <v>2</v>
      </c>
      <c r="D1" s="59" t="s">
        <v>3</v>
      </c>
      <c r="E1" s="59"/>
      <c r="F1" s="59"/>
      <c r="G1" s="12" t="s">
        <v>4</v>
      </c>
      <c r="H1" s="13" t="s">
        <v>5</v>
      </c>
      <c r="I1" s="14" t="s">
        <v>6</v>
      </c>
      <c r="J1" s="11" t="s">
        <v>7</v>
      </c>
      <c r="K1" s="11" t="s">
        <v>8</v>
      </c>
      <c r="L1" s="13" t="s">
        <v>9</v>
      </c>
    </row>
    <row r="2" spans="1:12" x14ac:dyDescent="0.3">
      <c r="A2" s="11" t="s">
        <v>546</v>
      </c>
      <c r="B2" s="11" t="s">
        <v>10</v>
      </c>
      <c r="C2" s="11" t="s">
        <v>11</v>
      </c>
      <c r="D2" s="59" t="s">
        <v>12</v>
      </c>
      <c r="E2" s="59"/>
      <c r="F2" s="59"/>
      <c r="G2" s="12" t="s">
        <v>13</v>
      </c>
      <c r="H2" s="13" t="s">
        <v>14</v>
      </c>
      <c r="I2" s="14"/>
      <c r="J2" s="11"/>
      <c r="K2" s="11"/>
      <c r="L2" s="13"/>
    </row>
    <row r="3" spans="1:12" x14ac:dyDescent="0.3">
      <c r="A3" s="11"/>
      <c r="B3" s="11"/>
      <c r="C3" s="11"/>
      <c r="D3" s="11" t="s">
        <v>282</v>
      </c>
      <c r="E3" s="11" t="s">
        <v>283</v>
      </c>
      <c r="F3" s="11" t="s">
        <v>284</v>
      </c>
      <c r="G3" s="12"/>
      <c r="H3" s="13"/>
      <c r="I3" s="14"/>
      <c r="J3" s="11"/>
      <c r="K3" s="11"/>
      <c r="L3" s="13"/>
    </row>
    <row r="4" spans="1:12" x14ac:dyDescent="0.3">
      <c r="A4" s="19"/>
      <c r="B4" s="19" t="s">
        <v>16</v>
      </c>
      <c r="C4" s="19" t="s">
        <v>87</v>
      </c>
      <c r="D4" s="19">
        <v>3</v>
      </c>
      <c r="E4" s="19"/>
      <c r="F4" s="19">
        <f>SUM(D4:E4)</f>
        <v>3</v>
      </c>
      <c r="G4" s="24"/>
      <c r="H4" s="27"/>
      <c r="I4" s="21" t="s">
        <v>92</v>
      </c>
      <c r="J4" s="19" t="s">
        <v>179</v>
      </c>
      <c r="K4" s="19"/>
      <c r="L4" s="27"/>
    </row>
    <row r="5" spans="1:12" x14ac:dyDescent="0.3">
      <c r="A5" s="19"/>
      <c r="B5" s="19" t="s">
        <v>17</v>
      </c>
      <c r="C5" s="19" t="s">
        <v>88</v>
      </c>
      <c r="D5" s="19">
        <v>3</v>
      </c>
      <c r="E5" s="19"/>
      <c r="F5" s="38">
        <f t="shared" ref="F5:F9" si="0">SUM(D5:E5)</f>
        <v>3</v>
      </c>
      <c r="G5" s="24"/>
      <c r="H5" s="27"/>
      <c r="I5" s="21" t="s">
        <v>102</v>
      </c>
      <c r="J5" s="19" t="s">
        <v>179</v>
      </c>
      <c r="K5" s="19"/>
      <c r="L5" s="27"/>
    </row>
    <row r="6" spans="1:12" x14ac:dyDescent="0.3">
      <c r="A6" s="19"/>
      <c r="B6" s="19" t="s">
        <v>285</v>
      </c>
      <c r="C6" s="19" t="s">
        <v>290</v>
      </c>
      <c r="D6" s="19">
        <v>2</v>
      </c>
      <c r="E6" s="19">
        <v>1</v>
      </c>
      <c r="F6" s="38">
        <f t="shared" si="0"/>
        <v>3</v>
      </c>
      <c r="G6" s="24"/>
      <c r="H6" s="27"/>
      <c r="I6" s="21" t="s">
        <v>295</v>
      </c>
      <c r="J6" s="19" t="s">
        <v>179</v>
      </c>
      <c r="K6" s="19"/>
      <c r="L6" s="27"/>
    </row>
    <row r="7" spans="1:12" x14ac:dyDescent="0.3">
      <c r="A7" s="19"/>
      <c r="B7" s="19" t="s">
        <v>286</v>
      </c>
      <c r="C7" s="19" t="s">
        <v>291</v>
      </c>
      <c r="D7" s="19">
        <v>2</v>
      </c>
      <c r="E7" s="19">
        <v>1</v>
      </c>
      <c r="F7" s="38">
        <f t="shared" si="0"/>
        <v>3</v>
      </c>
      <c r="G7" s="24"/>
      <c r="H7" s="27"/>
      <c r="I7" s="21" t="s">
        <v>295</v>
      </c>
      <c r="J7" s="19" t="s">
        <v>179</v>
      </c>
      <c r="K7" s="19"/>
      <c r="L7" s="27"/>
    </row>
    <row r="8" spans="1:12" x14ac:dyDescent="0.3">
      <c r="A8" s="19"/>
      <c r="B8" s="19" t="s">
        <v>468</v>
      </c>
      <c r="C8" s="19" t="s">
        <v>470</v>
      </c>
      <c r="D8" s="19">
        <v>3</v>
      </c>
      <c r="E8" s="19"/>
      <c r="F8" s="38">
        <f t="shared" si="0"/>
        <v>3</v>
      </c>
      <c r="G8" s="24"/>
      <c r="H8" s="27"/>
      <c r="I8" s="21" t="s">
        <v>472</v>
      </c>
      <c r="J8" s="19" t="s">
        <v>179</v>
      </c>
      <c r="K8" s="19"/>
      <c r="L8" s="27"/>
    </row>
    <row r="9" spans="1:12" x14ac:dyDescent="0.3">
      <c r="A9" s="19"/>
      <c r="B9" s="19" t="s">
        <v>469</v>
      </c>
      <c r="C9" s="19" t="s">
        <v>471</v>
      </c>
      <c r="D9" s="19">
        <v>2</v>
      </c>
      <c r="E9" s="19">
        <v>1</v>
      </c>
      <c r="F9" s="38">
        <f t="shared" si="0"/>
        <v>3</v>
      </c>
      <c r="G9" s="24"/>
      <c r="H9" s="27"/>
      <c r="I9" s="21" t="s">
        <v>472</v>
      </c>
      <c r="J9" s="19" t="s">
        <v>179</v>
      </c>
      <c r="K9" s="19"/>
      <c r="L9" s="27"/>
    </row>
    <row r="10" spans="1:12" s="17" customFormat="1" x14ac:dyDescent="0.3">
      <c r="A10" s="57" t="s">
        <v>73</v>
      </c>
      <c r="B10" s="57"/>
      <c r="C10" s="57"/>
      <c r="D10" s="30">
        <f>SUM(D4:D9)</f>
        <v>15</v>
      </c>
      <c r="E10" s="30">
        <v>3</v>
      </c>
      <c r="F10" s="30">
        <f>SUM(D10:E10)</f>
        <v>18</v>
      </c>
      <c r="G10" s="25"/>
      <c r="H10" s="28"/>
      <c r="I10" s="22"/>
      <c r="J10" s="30"/>
      <c r="K10" s="30"/>
      <c r="L10" s="28"/>
    </row>
    <row r="11" spans="1:12" x14ac:dyDescent="0.3">
      <c r="A11" s="19"/>
      <c r="B11" s="19"/>
      <c r="C11" s="19"/>
      <c r="D11" s="19"/>
      <c r="E11" s="19"/>
      <c r="F11" s="19"/>
      <c r="G11" s="24"/>
      <c r="H11" s="27" t="s">
        <v>81</v>
      </c>
      <c r="I11" s="21"/>
      <c r="J11" s="19"/>
      <c r="K11" s="19"/>
      <c r="L11" s="27"/>
    </row>
    <row r="12" spans="1:12" x14ac:dyDescent="0.3">
      <c r="A12" s="19"/>
      <c r="B12" s="19" t="s">
        <v>22</v>
      </c>
      <c r="C12" s="19" t="s">
        <v>95</v>
      </c>
      <c r="D12" s="19">
        <v>2</v>
      </c>
      <c r="E12" s="19"/>
      <c r="F12" s="19">
        <f>SUM(D12:E12)</f>
        <v>2</v>
      </c>
      <c r="G12" s="24"/>
      <c r="H12" s="27"/>
      <c r="I12" s="21" t="s">
        <v>92</v>
      </c>
      <c r="J12" s="19" t="s">
        <v>179</v>
      </c>
      <c r="K12" s="19"/>
      <c r="L12" s="27"/>
    </row>
    <row r="13" spans="1:12" x14ac:dyDescent="0.3">
      <c r="A13" s="19"/>
      <c r="B13" s="19" t="s">
        <v>23</v>
      </c>
      <c r="C13" s="19" t="s">
        <v>96</v>
      </c>
      <c r="D13" s="19">
        <v>2</v>
      </c>
      <c r="E13" s="19"/>
      <c r="F13" s="38">
        <f t="shared" ref="F13:F18" si="1">SUM(D13:E13)</f>
        <v>2</v>
      </c>
      <c r="G13" s="24"/>
      <c r="H13" s="27"/>
      <c r="I13" s="21" t="s">
        <v>92</v>
      </c>
      <c r="J13" s="19" t="s">
        <v>179</v>
      </c>
      <c r="K13" s="19"/>
      <c r="L13" s="27" t="s">
        <v>592</v>
      </c>
    </row>
    <row r="14" spans="1:12" x14ac:dyDescent="0.3">
      <c r="A14" s="19"/>
      <c r="B14" s="19" t="s">
        <v>297</v>
      </c>
      <c r="C14" s="19" t="s">
        <v>301</v>
      </c>
      <c r="D14" s="19">
        <v>2</v>
      </c>
      <c r="E14" s="19">
        <v>1</v>
      </c>
      <c r="F14" s="38">
        <f t="shared" si="1"/>
        <v>3</v>
      </c>
      <c r="G14" s="24"/>
      <c r="H14" s="27"/>
      <c r="I14" s="21" t="s">
        <v>295</v>
      </c>
      <c r="J14" s="19" t="s">
        <v>179</v>
      </c>
      <c r="K14" s="19"/>
      <c r="L14" s="27"/>
    </row>
    <row r="15" spans="1:12" x14ac:dyDescent="0.3">
      <c r="A15" s="19"/>
      <c r="B15" s="19" t="s">
        <v>438</v>
      </c>
      <c r="C15" s="19" t="s">
        <v>302</v>
      </c>
      <c r="D15" s="19">
        <v>2</v>
      </c>
      <c r="E15" s="19">
        <v>1</v>
      </c>
      <c r="F15" s="38">
        <f t="shared" si="1"/>
        <v>3</v>
      </c>
      <c r="G15" s="24"/>
      <c r="H15" s="27"/>
      <c r="I15" s="21" t="s">
        <v>295</v>
      </c>
      <c r="J15" s="19" t="s">
        <v>179</v>
      </c>
      <c r="K15" s="19"/>
      <c r="L15" s="27"/>
    </row>
    <row r="16" spans="1:12" x14ac:dyDescent="0.3">
      <c r="A16" s="19"/>
      <c r="B16" s="19" t="s">
        <v>474</v>
      </c>
      <c r="C16" s="19" t="s">
        <v>475</v>
      </c>
      <c r="D16" s="19">
        <v>2</v>
      </c>
      <c r="E16" s="19">
        <v>1</v>
      </c>
      <c r="F16" s="38">
        <f t="shared" si="1"/>
        <v>3</v>
      </c>
      <c r="G16" s="24"/>
      <c r="H16" s="27"/>
      <c r="I16" s="21" t="s">
        <v>472</v>
      </c>
      <c r="J16" s="19" t="s">
        <v>179</v>
      </c>
      <c r="K16" s="19"/>
      <c r="L16" s="27"/>
    </row>
    <row r="17" spans="1:12" x14ac:dyDescent="0.3">
      <c r="A17" s="19"/>
      <c r="B17" s="19" t="s">
        <v>473</v>
      </c>
      <c r="C17" s="19" t="s">
        <v>476</v>
      </c>
      <c r="D17" s="19">
        <v>3</v>
      </c>
      <c r="E17" s="19"/>
      <c r="F17" s="38">
        <f t="shared" si="1"/>
        <v>3</v>
      </c>
      <c r="G17" s="24"/>
      <c r="H17" s="27"/>
      <c r="I17" s="21" t="s">
        <v>472</v>
      </c>
      <c r="J17" s="19" t="s">
        <v>179</v>
      </c>
      <c r="K17" s="19"/>
      <c r="L17" s="27"/>
    </row>
    <row r="18" spans="1:12" x14ac:dyDescent="0.3">
      <c r="A18" s="19"/>
      <c r="B18" s="19" t="s">
        <v>29</v>
      </c>
      <c r="C18" s="19" t="s">
        <v>447</v>
      </c>
      <c r="D18" s="19">
        <v>2</v>
      </c>
      <c r="E18" s="19"/>
      <c r="F18" s="38">
        <f t="shared" si="1"/>
        <v>2</v>
      </c>
      <c r="G18" s="24"/>
      <c r="H18" s="27"/>
      <c r="I18" s="21" t="s">
        <v>92</v>
      </c>
      <c r="J18" s="19" t="s">
        <v>179</v>
      </c>
      <c r="K18" s="19"/>
      <c r="L18" s="27"/>
    </row>
    <row r="19" spans="1:12" s="17" customFormat="1" x14ac:dyDescent="0.3">
      <c r="A19" s="57" t="s">
        <v>73</v>
      </c>
      <c r="B19" s="57"/>
      <c r="C19" s="57"/>
      <c r="D19" s="30">
        <f>SUM(D12:D18)</f>
        <v>15</v>
      </c>
      <c r="E19" s="30">
        <v>3</v>
      </c>
      <c r="F19" s="30">
        <f>SUM(D19:E19)</f>
        <v>18</v>
      </c>
      <c r="G19" s="25"/>
      <c r="H19" s="28"/>
      <c r="I19" s="22"/>
      <c r="J19" s="30"/>
      <c r="K19" s="30"/>
      <c r="L19" s="28"/>
    </row>
    <row r="20" spans="1:12" x14ac:dyDescent="0.3">
      <c r="A20" s="19"/>
      <c r="B20" s="19"/>
      <c r="C20" s="19"/>
      <c r="D20" s="19"/>
      <c r="E20" s="19"/>
      <c r="F20" s="19"/>
      <c r="G20" s="24" t="s">
        <v>136</v>
      </c>
      <c r="H20" s="27" t="s">
        <v>159</v>
      </c>
      <c r="I20" s="21"/>
      <c r="J20" s="19"/>
      <c r="K20" s="19"/>
      <c r="L20" s="27"/>
    </row>
    <row r="21" spans="1:12" x14ac:dyDescent="0.3">
      <c r="A21" s="19"/>
      <c r="B21" s="19" t="s">
        <v>30</v>
      </c>
      <c r="C21" s="19" t="s">
        <v>103</v>
      </c>
      <c r="D21" s="19">
        <v>3</v>
      </c>
      <c r="E21" s="19"/>
      <c r="F21" s="38">
        <f t="shared" ref="F21:F26" si="2">SUM(D21:E21)</f>
        <v>3</v>
      </c>
      <c r="G21" s="24"/>
      <c r="H21" s="27"/>
      <c r="I21" s="21" t="s">
        <v>92</v>
      </c>
      <c r="J21" s="19" t="s">
        <v>179</v>
      </c>
      <c r="K21" s="19"/>
      <c r="L21" s="27" t="s">
        <v>594</v>
      </c>
    </row>
    <row r="22" spans="1:12" x14ac:dyDescent="0.3">
      <c r="A22" s="19"/>
      <c r="B22" s="19" t="s">
        <v>31</v>
      </c>
      <c r="C22" s="19" t="s">
        <v>547</v>
      </c>
      <c r="D22" s="19">
        <v>3</v>
      </c>
      <c r="E22" s="19"/>
      <c r="F22" s="38">
        <f t="shared" si="2"/>
        <v>3</v>
      </c>
      <c r="G22" s="24"/>
      <c r="H22" s="27"/>
      <c r="I22" s="21" t="s">
        <v>92</v>
      </c>
      <c r="J22" s="19" t="s">
        <v>179</v>
      </c>
      <c r="K22" s="19"/>
      <c r="L22" s="27"/>
    </row>
    <row r="23" spans="1:12" x14ac:dyDescent="0.3">
      <c r="A23" s="19"/>
      <c r="B23" s="19" t="s">
        <v>305</v>
      </c>
      <c r="C23" s="19" t="s">
        <v>313</v>
      </c>
      <c r="D23" s="19">
        <v>2</v>
      </c>
      <c r="E23" s="19">
        <v>1</v>
      </c>
      <c r="F23" s="38">
        <f t="shared" si="2"/>
        <v>3</v>
      </c>
      <c r="G23" s="24"/>
      <c r="H23" s="27"/>
      <c r="I23" s="21" t="s">
        <v>295</v>
      </c>
      <c r="J23" s="19" t="s">
        <v>179</v>
      </c>
      <c r="K23" s="19"/>
      <c r="L23" s="27"/>
    </row>
    <row r="24" spans="1:12" x14ac:dyDescent="0.3">
      <c r="A24" s="19"/>
      <c r="B24" s="19" t="s">
        <v>306</v>
      </c>
      <c r="C24" s="19" t="s">
        <v>314</v>
      </c>
      <c r="D24" s="19">
        <v>3</v>
      </c>
      <c r="E24" s="19"/>
      <c r="F24" s="38">
        <f t="shared" si="2"/>
        <v>3</v>
      </c>
      <c r="G24" s="24"/>
      <c r="H24" s="27"/>
      <c r="I24" s="21" t="s">
        <v>295</v>
      </c>
      <c r="J24" s="19" t="s">
        <v>179</v>
      </c>
      <c r="K24" s="19"/>
      <c r="L24" s="27"/>
    </row>
    <row r="25" spans="1:12" x14ac:dyDescent="0.3">
      <c r="A25" s="19"/>
      <c r="B25" s="19" t="s">
        <v>477</v>
      </c>
      <c r="C25" s="19" t="s">
        <v>479</v>
      </c>
      <c r="D25" s="19">
        <v>2</v>
      </c>
      <c r="E25" s="19">
        <v>1</v>
      </c>
      <c r="F25" s="38">
        <f t="shared" si="2"/>
        <v>3</v>
      </c>
      <c r="G25" s="24"/>
      <c r="H25" s="27"/>
      <c r="I25" s="21" t="s">
        <v>472</v>
      </c>
      <c r="J25" s="19" t="s">
        <v>179</v>
      </c>
      <c r="K25" s="19"/>
      <c r="L25" s="27"/>
    </row>
    <row r="26" spans="1:12" x14ac:dyDescent="0.3">
      <c r="A26" s="19"/>
      <c r="B26" s="19" t="s">
        <v>478</v>
      </c>
      <c r="C26" s="19" t="s">
        <v>480</v>
      </c>
      <c r="D26" s="19">
        <v>2</v>
      </c>
      <c r="E26" s="19">
        <v>1</v>
      </c>
      <c r="F26" s="38">
        <f t="shared" si="2"/>
        <v>3</v>
      </c>
      <c r="G26" s="24"/>
      <c r="H26" s="27"/>
      <c r="I26" s="21" t="s">
        <v>472</v>
      </c>
      <c r="J26" s="19" t="s">
        <v>179</v>
      </c>
      <c r="K26" s="19"/>
      <c r="L26" s="27"/>
    </row>
    <row r="27" spans="1:12" s="17" customFormat="1" x14ac:dyDescent="0.3">
      <c r="A27" s="57" t="s">
        <v>73</v>
      </c>
      <c r="B27" s="57"/>
      <c r="C27" s="57"/>
      <c r="D27" s="30">
        <f>SUM(D21:D26)</f>
        <v>15</v>
      </c>
      <c r="E27" s="30">
        <v>3</v>
      </c>
      <c r="F27" s="30">
        <f>SUM(D27:E27)</f>
        <v>18</v>
      </c>
      <c r="G27" s="25"/>
      <c r="H27" s="28"/>
      <c r="I27" s="22"/>
      <c r="J27" s="30"/>
      <c r="K27" s="30"/>
      <c r="L27" s="28"/>
    </row>
    <row r="28" spans="1:12" x14ac:dyDescent="0.3">
      <c r="A28" s="19"/>
      <c r="B28" s="19"/>
      <c r="C28" s="19"/>
      <c r="D28" s="19"/>
      <c r="E28" s="19"/>
      <c r="F28" s="19"/>
      <c r="G28" s="24"/>
      <c r="H28" s="27" t="s">
        <v>81</v>
      </c>
      <c r="I28" s="21"/>
      <c r="J28" s="19"/>
      <c r="K28" s="19"/>
      <c r="L28" s="27"/>
    </row>
    <row r="29" spans="1:12" x14ac:dyDescent="0.3">
      <c r="A29" s="19"/>
      <c r="B29" s="19" t="s">
        <v>35</v>
      </c>
      <c r="C29" s="19" t="s">
        <v>110</v>
      </c>
      <c r="D29" s="19">
        <v>3</v>
      </c>
      <c r="E29" s="19"/>
      <c r="F29" s="38">
        <f t="shared" ref="F29:F35" si="3">SUM(D29:E29)</f>
        <v>3</v>
      </c>
      <c r="G29" s="24"/>
      <c r="H29" s="27"/>
      <c r="I29" s="21" t="s">
        <v>92</v>
      </c>
      <c r="J29" s="19" t="s">
        <v>179</v>
      </c>
      <c r="K29" s="19"/>
      <c r="L29" s="27" t="s">
        <v>595</v>
      </c>
    </row>
    <row r="30" spans="1:12" x14ac:dyDescent="0.3">
      <c r="A30" s="19"/>
      <c r="B30" s="19" t="s">
        <v>36</v>
      </c>
      <c r="C30" s="19" t="s">
        <v>316</v>
      </c>
      <c r="D30" s="19">
        <v>3</v>
      </c>
      <c r="E30" s="19"/>
      <c r="F30" s="38">
        <f t="shared" si="3"/>
        <v>3</v>
      </c>
      <c r="G30" s="24"/>
      <c r="H30" s="27"/>
      <c r="I30" s="21" t="s">
        <v>92</v>
      </c>
      <c r="J30" s="19" t="s">
        <v>179</v>
      </c>
      <c r="K30" s="19"/>
      <c r="L30" s="27"/>
    </row>
    <row r="31" spans="1:12" x14ac:dyDescent="0.3">
      <c r="A31" s="19"/>
      <c r="B31" s="19" t="s">
        <v>24</v>
      </c>
      <c r="C31" s="19" t="s">
        <v>142</v>
      </c>
      <c r="D31" s="19">
        <v>1</v>
      </c>
      <c r="E31" s="19"/>
      <c r="F31" s="38">
        <f t="shared" si="3"/>
        <v>1</v>
      </c>
      <c r="G31" s="24"/>
      <c r="H31" s="27"/>
      <c r="I31" s="21" t="s">
        <v>102</v>
      </c>
      <c r="J31" s="19" t="s">
        <v>179</v>
      </c>
      <c r="K31" s="19"/>
      <c r="L31" s="27"/>
    </row>
    <row r="32" spans="1:12" x14ac:dyDescent="0.3">
      <c r="A32" s="19"/>
      <c r="B32" s="19" t="s">
        <v>309</v>
      </c>
      <c r="C32" s="19" t="s">
        <v>318</v>
      </c>
      <c r="D32" s="19">
        <v>2</v>
      </c>
      <c r="E32" s="19">
        <v>1</v>
      </c>
      <c r="F32" s="38">
        <f t="shared" si="3"/>
        <v>3</v>
      </c>
      <c r="G32" s="24"/>
      <c r="H32" s="27"/>
      <c r="I32" s="21" t="s">
        <v>295</v>
      </c>
      <c r="J32" s="19" t="s">
        <v>179</v>
      </c>
      <c r="K32" s="19"/>
      <c r="L32" s="27"/>
    </row>
    <row r="33" spans="1:12" x14ac:dyDescent="0.3">
      <c r="A33" s="19"/>
      <c r="B33" s="19" t="s">
        <v>25</v>
      </c>
      <c r="C33" s="19" t="s">
        <v>171</v>
      </c>
      <c r="D33" s="19">
        <v>2</v>
      </c>
      <c r="E33" s="19"/>
      <c r="F33" s="38">
        <f t="shared" si="3"/>
        <v>2</v>
      </c>
      <c r="G33" s="24"/>
      <c r="H33" s="27"/>
      <c r="I33" s="21" t="s">
        <v>102</v>
      </c>
      <c r="J33" s="19" t="s">
        <v>179</v>
      </c>
      <c r="K33" s="19"/>
      <c r="L33" s="27"/>
    </row>
    <row r="34" spans="1:12" x14ac:dyDescent="0.3">
      <c r="A34" s="19"/>
      <c r="B34" s="19" t="s">
        <v>481</v>
      </c>
      <c r="C34" s="19" t="s">
        <v>482</v>
      </c>
      <c r="D34" s="19">
        <v>3</v>
      </c>
      <c r="E34" s="19"/>
      <c r="F34" s="38">
        <f t="shared" si="3"/>
        <v>3</v>
      </c>
      <c r="G34" s="24"/>
      <c r="H34" s="27"/>
      <c r="I34" s="21" t="s">
        <v>472</v>
      </c>
      <c r="J34" s="19" t="s">
        <v>179</v>
      </c>
      <c r="K34" s="19"/>
      <c r="L34" s="27"/>
    </row>
    <row r="35" spans="1:12" x14ac:dyDescent="0.3">
      <c r="A35" s="19"/>
      <c r="B35" s="19" t="s">
        <v>488</v>
      </c>
      <c r="C35" s="19" t="s">
        <v>490</v>
      </c>
      <c r="D35" s="19">
        <v>3</v>
      </c>
      <c r="E35" s="19"/>
      <c r="F35" s="38">
        <f t="shared" si="3"/>
        <v>3</v>
      </c>
      <c r="G35" s="24"/>
      <c r="H35" s="27"/>
      <c r="I35" s="21" t="s">
        <v>472</v>
      </c>
      <c r="J35" s="19" t="s">
        <v>179</v>
      </c>
      <c r="K35" s="19"/>
      <c r="L35" s="27"/>
    </row>
    <row r="36" spans="1:12" s="17" customFormat="1" x14ac:dyDescent="0.3">
      <c r="A36" s="57" t="s">
        <v>73</v>
      </c>
      <c r="B36" s="57"/>
      <c r="C36" s="57"/>
      <c r="D36" s="30">
        <f>SUM(D29:D35)</f>
        <v>17</v>
      </c>
      <c r="E36" s="30">
        <v>1</v>
      </c>
      <c r="F36" s="30">
        <f>SUM(D36:E36)</f>
        <v>18</v>
      </c>
      <c r="G36" s="25"/>
      <c r="H36" s="28"/>
      <c r="I36" s="22"/>
      <c r="J36" s="30"/>
      <c r="K36" s="30"/>
      <c r="L36" s="28"/>
    </row>
    <row r="37" spans="1:12" x14ac:dyDescent="0.3">
      <c r="A37" s="19"/>
      <c r="B37" s="19"/>
      <c r="C37" s="19"/>
      <c r="D37" s="19"/>
      <c r="E37" s="19"/>
      <c r="F37" s="19"/>
      <c r="G37" s="24" t="s">
        <v>174</v>
      </c>
      <c r="H37" s="27" t="s">
        <v>159</v>
      </c>
      <c r="I37" s="21"/>
      <c r="J37" s="19"/>
      <c r="K37" s="19"/>
      <c r="L37" s="27"/>
    </row>
    <row r="38" spans="1:12" x14ac:dyDescent="0.3">
      <c r="A38" s="19"/>
      <c r="B38" s="19" t="s">
        <v>41</v>
      </c>
      <c r="C38" s="19" t="s">
        <v>330</v>
      </c>
      <c r="D38" s="19">
        <v>3</v>
      </c>
      <c r="E38" s="19"/>
      <c r="F38" s="38">
        <f t="shared" ref="F38:F44" si="4">SUM(D38:E38)</f>
        <v>3</v>
      </c>
      <c r="G38" s="24"/>
      <c r="H38" s="27"/>
      <c r="I38" s="21" t="s">
        <v>92</v>
      </c>
      <c r="J38" s="19" t="s">
        <v>179</v>
      </c>
      <c r="K38" s="19"/>
      <c r="L38" s="27" t="s">
        <v>596</v>
      </c>
    </row>
    <row r="39" spans="1:12" x14ac:dyDescent="0.3">
      <c r="A39" s="19"/>
      <c r="B39" s="19" t="s">
        <v>42</v>
      </c>
      <c r="C39" s="19" t="s">
        <v>329</v>
      </c>
      <c r="D39" s="19">
        <v>3</v>
      </c>
      <c r="E39" s="19"/>
      <c r="F39" s="38">
        <f t="shared" si="4"/>
        <v>3</v>
      </c>
      <c r="G39" s="24"/>
      <c r="H39" s="27"/>
      <c r="I39" s="21" t="s">
        <v>92</v>
      </c>
      <c r="J39" s="19" t="s">
        <v>179</v>
      </c>
      <c r="K39" s="19"/>
      <c r="L39" s="27" t="s">
        <v>598</v>
      </c>
    </row>
    <row r="40" spans="1:12" x14ac:dyDescent="0.3">
      <c r="A40" s="19"/>
      <c r="B40" s="19" t="s">
        <v>60</v>
      </c>
      <c r="C40" s="19" t="s">
        <v>327</v>
      </c>
      <c r="D40" s="19">
        <v>2</v>
      </c>
      <c r="E40" s="19"/>
      <c r="F40" s="38">
        <f t="shared" si="4"/>
        <v>2</v>
      </c>
      <c r="G40" s="24"/>
      <c r="H40" s="27"/>
      <c r="I40" s="21" t="s">
        <v>102</v>
      </c>
      <c r="J40" s="19" t="s">
        <v>179</v>
      </c>
      <c r="K40" s="19"/>
      <c r="L40" s="27"/>
    </row>
    <row r="41" spans="1:12" x14ac:dyDescent="0.3">
      <c r="A41" s="19"/>
      <c r="B41" s="19" t="s">
        <v>322</v>
      </c>
      <c r="C41" s="19" t="s">
        <v>326</v>
      </c>
      <c r="D41" s="19">
        <v>2</v>
      </c>
      <c r="E41" s="19">
        <v>1</v>
      </c>
      <c r="F41" s="38">
        <f t="shared" si="4"/>
        <v>3</v>
      </c>
      <c r="G41" s="24"/>
      <c r="H41" s="27"/>
      <c r="I41" s="21" t="s">
        <v>295</v>
      </c>
      <c r="J41" s="19" t="s">
        <v>179</v>
      </c>
      <c r="K41" s="19"/>
      <c r="L41" s="27"/>
    </row>
    <row r="42" spans="1:12" x14ac:dyDescent="0.3">
      <c r="A42" s="19"/>
      <c r="B42" s="19" t="s">
        <v>483</v>
      </c>
      <c r="C42" s="19" t="s">
        <v>484</v>
      </c>
      <c r="D42" s="19">
        <v>3</v>
      </c>
      <c r="E42" s="19"/>
      <c r="F42" s="38">
        <f t="shared" si="4"/>
        <v>3</v>
      </c>
      <c r="G42" s="24"/>
      <c r="H42" s="27"/>
      <c r="I42" s="21" t="s">
        <v>472</v>
      </c>
      <c r="J42" s="19" t="s">
        <v>179</v>
      </c>
      <c r="K42" s="19"/>
      <c r="L42" s="27"/>
    </row>
    <row r="43" spans="1:12" x14ac:dyDescent="0.3">
      <c r="A43" s="19"/>
      <c r="B43" s="19" t="s">
        <v>58</v>
      </c>
      <c r="C43" s="19" t="s">
        <v>545</v>
      </c>
      <c r="D43" s="19">
        <v>2</v>
      </c>
      <c r="E43" s="19"/>
      <c r="F43" s="38">
        <f t="shared" si="4"/>
        <v>2</v>
      </c>
      <c r="G43" s="24"/>
      <c r="H43" s="27"/>
      <c r="I43" s="21" t="s">
        <v>92</v>
      </c>
      <c r="J43" s="19" t="s">
        <v>179</v>
      </c>
      <c r="K43" s="19"/>
      <c r="L43" s="27"/>
    </row>
    <row r="44" spans="1:12" x14ac:dyDescent="0.3">
      <c r="A44" s="19"/>
      <c r="B44" s="19" t="s">
        <v>61</v>
      </c>
      <c r="C44" s="19" t="s">
        <v>72</v>
      </c>
      <c r="D44" s="19">
        <v>2</v>
      </c>
      <c r="E44" s="19"/>
      <c r="F44" s="38">
        <f t="shared" si="4"/>
        <v>2</v>
      </c>
      <c r="G44" s="24"/>
      <c r="H44" s="27"/>
      <c r="I44" s="21" t="s">
        <v>92</v>
      </c>
      <c r="J44" s="19" t="s">
        <v>179</v>
      </c>
      <c r="K44" s="19"/>
      <c r="L44" s="27"/>
    </row>
    <row r="45" spans="1:12" s="17" customFormat="1" x14ac:dyDescent="0.3">
      <c r="A45" s="57" t="s">
        <v>73</v>
      </c>
      <c r="B45" s="57"/>
      <c r="C45" s="57"/>
      <c r="D45" s="30">
        <f>SUM(D38:D44)</f>
        <v>17</v>
      </c>
      <c r="E45" s="30">
        <v>1</v>
      </c>
      <c r="F45" s="30">
        <f>SUM(D45:E45)</f>
        <v>18</v>
      </c>
      <c r="G45" s="25"/>
      <c r="H45" s="28"/>
      <c r="I45" s="22"/>
      <c r="J45" s="30"/>
      <c r="K45" s="30"/>
      <c r="L45" s="28"/>
    </row>
    <row r="46" spans="1:12" x14ac:dyDescent="0.3">
      <c r="A46" s="19"/>
      <c r="B46" s="19"/>
      <c r="C46" s="19"/>
      <c r="D46" s="19"/>
      <c r="E46" s="19"/>
      <c r="F46" s="19"/>
      <c r="G46" s="24"/>
      <c r="H46" s="27" t="s">
        <v>81</v>
      </c>
      <c r="I46" s="21"/>
      <c r="J46" s="19"/>
      <c r="K46" s="19"/>
      <c r="L46" s="27"/>
    </row>
    <row r="47" spans="1:12" x14ac:dyDescent="0.3">
      <c r="A47" s="19"/>
      <c r="B47" s="19" t="s">
        <v>331</v>
      </c>
      <c r="C47" s="19" t="s">
        <v>340</v>
      </c>
      <c r="D47" s="19">
        <v>3</v>
      </c>
      <c r="E47" s="19"/>
      <c r="F47" s="38">
        <f t="shared" ref="F47:F52" si="5">SUM(D47:E47)</f>
        <v>3</v>
      </c>
      <c r="G47" s="24"/>
      <c r="H47" s="27"/>
      <c r="I47" s="21" t="s">
        <v>92</v>
      </c>
      <c r="J47" s="19" t="s">
        <v>179</v>
      </c>
      <c r="K47" s="19"/>
      <c r="L47" s="27"/>
    </row>
    <row r="48" spans="1:12" x14ac:dyDescent="0.3">
      <c r="A48" s="19"/>
      <c r="B48" s="19" t="s">
        <v>485</v>
      </c>
      <c r="C48" s="19" t="s">
        <v>548</v>
      </c>
      <c r="D48" s="19">
        <v>3</v>
      </c>
      <c r="E48" s="19"/>
      <c r="F48" s="38">
        <f t="shared" si="5"/>
        <v>3</v>
      </c>
      <c r="G48" s="24"/>
      <c r="H48" s="27"/>
      <c r="I48" s="21" t="s">
        <v>92</v>
      </c>
      <c r="J48" s="19" t="s">
        <v>179</v>
      </c>
      <c r="K48" s="19"/>
      <c r="L48" s="27"/>
    </row>
    <row r="49" spans="1:12" x14ac:dyDescent="0.3">
      <c r="A49" s="19"/>
      <c r="B49" s="19" t="s">
        <v>49</v>
      </c>
      <c r="C49" s="19" t="s">
        <v>338</v>
      </c>
      <c r="D49" s="19">
        <v>3</v>
      </c>
      <c r="E49" s="19"/>
      <c r="F49" s="38">
        <f t="shared" si="5"/>
        <v>3</v>
      </c>
      <c r="G49" s="24"/>
      <c r="H49" s="27"/>
      <c r="I49" s="21" t="s">
        <v>92</v>
      </c>
      <c r="J49" s="19" t="s">
        <v>179</v>
      </c>
      <c r="K49" s="19"/>
      <c r="L49" s="27" t="s">
        <v>597</v>
      </c>
    </row>
    <row r="50" spans="1:12" x14ac:dyDescent="0.3">
      <c r="A50" s="19"/>
      <c r="B50" s="19" t="s">
        <v>333</v>
      </c>
      <c r="C50" s="19" t="s">
        <v>337</v>
      </c>
      <c r="D50" s="19">
        <v>3</v>
      </c>
      <c r="E50" s="19"/>
      <c r="F50" s="38">
        <f t="shared" si="5"/>
        <v>3</v>
      </c>
      <c r="G50" s="24"/>
      <c r="H50" s="27"/>
      <c r="I50" s="21" t="s">
        <v>295</v>
      </c>
      <c r="J50" s="19" t="s">
        <v>179</v>
      </c>
      <c r="K50" s="19"/>
      <c r="L50" s="27"/>
    </row>
    <row r="51" spans="1:12" x14ac:dyDescent="0.3">
      <c r="A51" s="19"/>
      <c r="B51" s="19" t="s">
        <v>487</v>
      </c>
      <c r="C51" s="19" t="s">
        <v>489</v>
      </c>
      <c r="D51" s="19">
        <v>2</v>
      </c>
      <c r="E51" s="19">
        <v>1</v>
      </c>
      <c r="F51" s="38">
        <f t="shared" si="5"/>
        <v>3</v>
      </c>
      <c r="G51" s="24"/>
      <c r="H51" s="27"/>
      <c r="I51" s="21" t="s">
        <v>472</v>
      </c>
      <c r="J51" s="19" t="s">
        <v>179</v>
      </c>
      <c r="K51" s="19"/>
      <c r="L51" s="27"/>
    </row>
    <row r="52" spans="1:12" x14ac:dyDescent="0.3">
      <c r="A52" s="19"/>
      <c r="B52" s="19" t="s">
        <v>310</v>
      </c>
      <c r="C52" s="19" t="s">
        <v>319</v>
      </c>
      <c r="D52" s="19">
        <v>3</v>
      </c>
      <c r="E52" s="19"/>
      <c r="F52" s="38">
        <f t="shared" si="5"/>
        <v>3</v>
      </c>
      <c r="G52" s="24"/>
      <c r="H52" s="27"/>
      <c r="I52" s="21" t="s">
        <v>295</v>
      </c>
      <c r="J52" s="19" t="s">
        <v>179</v>
      </c>
      <c r="K52" s="19"/>
      <c r="L52" s="27"/>
    </row>
    <row r="53" spans="1:12" s="17" customFormat="1" x14ac:dyDescent="0.3">
      <c r="A53" s="57" t="s">
        <v>73</v>
      </c>
      <c r="B53" s="57"/>
      <c r="C53" s="57"/>
      <c r="D53" s="30">
        <f>SUM(D47:D52)</f>
        <v>17</v>
      </c>
      <c r="E53" s="30">
        <v>1</v>
      </c>
      <c r="F53" s="30">
        <f>SUM(D53:E53)</f>
        <v>18</v>
      </c>
      <c r="G53" s="25"/>
      <c r="H53" s="28"/>
      <c r="I53" s="22"/>
      <c r="J53" s="30"/>
      <c r="K53" s="30"/>
      <c r="L53" s="28"/>
    </row>
    <row r="54" spans="1:12" x14ac:dyDescent="0.3">
      <c r="A54" s="19"/>
      <c r="B54" s="19"/>
      <c r="C54" s="19"/>
      <c r="D54" s="19"/>
      <c r="E54" s="19"/>
      <c r="F54" s="19"/>
      <c r="G54" s="24"/>
      <c r="H54" s="27" t="s">
        <v>85</v>
      </c>
      <c r="I54" s="21"/>
      <c r="J54" s="19"/>
      <c r="K54" s="19"/>
      <c r="L54" s="27"/>
    </row>
    <row r="55" spans="1:12" x14ac:dyDescent="0.3">
      <c r="A55" s="19"/>
      <c r="B55" s="19" t="s">
        <v>53</v>
      </c>
      <c r="C55" s="19" t="s">
        <v>126</v>
      </c>
      <c r="D55" s="19">
        <v>6</v>
      </c>
      <c r="E55" s="19"/>
      <c r="F55" s="38">
        <f t="shared" ref="F55" si="6">SUM(D55:E55)</f>
        <v>6</v>
      </c>
      <c r="G55" s="24"/>
      <c r="H55" s="27"/>
      <c r="I55" s="21" t="s">
        <v>92</v>
      </c>
      <c r="J55" s="19" t="s">
        <v>179</v>
      </c>
      <c r="K55" s="19"/>
      <c r="L55" s="27" t="s">
        <v>599</v>
      </c>
    </row>
    <row r="56" spans="1:12" s="17" customFormat="1" x14ac:dyDescent="0.3">
      <c r="A56" s="57" t="s">
        <v>73</v>
      </c>
      <c r="B56" s="57"/>
      <c r="C56" s="57"/>
      <c r="D56" s="30">
        <f>SUM(D55)</f>
        <v>6</v>
      </c>
      <c r="E56" s="30"/>
      <c r="F56" s="30"/>
      <c r="G56" s="25"/>
      <c r="H56" s="28"/>
      <c r="I56" s="22"/>
      <c r="J56" s="30"/>
      <c r="K56" s="30"/>
      <c r="L56" s="28"/>
    </row>
    <row r="57" spans="1:12" x14ac:dyDescent="0.3">
      <c r="A57" s="19"/>
      <c r="B57" s="19"/>
      <c r="C57" s="19"/>
      <c r="D57" s="19"/>
      <c r="E57" s="19"/>
      <c r="F57" s="19"/>
      <c r="G57" s="24" t="s">
        <v>158</v>
      </c>
      <c r="H57" s="27" t="s">
        <v>159</v>
      </c>
      <c r="I57" s="21"/>
      <c r="J57" s="19"/>
      <c r="K57" s="19"/>
      <c r="L57" s="27"/>
    </row>
    <row r="58" spans="1:12" x14ac:dyDescent="0.3">
      <c r="A58" s="19"/>
      <c r="B58" s="19" t="s">
        <v>54</v>
      </c>
      <c r="C58" s="19" t="s">
        <v>80</v>
      </c>
      <c r="D58" s="19">
        <v>3</v>
      </c>
      <c r="E58" s="19"/>
      <c r="F58" s="38">
        <f t="shared" ref="F58:F63" si="7">SUM(D58:E58)</f>
        <v>3</v>
      </c>
      <c r="G58" s="24"/>
      <c r="H58" s="27"/>
      <c r="I58" s="21" t="s">
        <v>92</v>
      </c>
      <c r="J58" s="19" t="s">
        <v>179</v>
      </c>
      <c r="K58" s="19"/>
      <c r="L58" s="27" t="s">
        <v>591</v>
      </c>
    </row>
    <row r="59" spans="1:12" x14ac:dyDescent="0.3">
      <c r="A59" s="19"/>
      <c r="B59" s="19" t="s">
        <v>55</v>
      </c>
      <c r="C59" s="19" t="s">
        <v>350</v>
      </c>
      <c r="D59" s="19">
        <v>3</v>
      </c>
      <c r="E59" s="19"/>
      <c r="F59" s="38">
        <f t="shared" si="7"/>
        <v>3</v>
      </c>
      <c r="G59" s="24"/>
      <c r="H59" s="27"/>
      <c r="I59" s="21" t="s">
        <v>92</v>
      </c>
      <c r="J59" s="19" t="s">
        <v>179</v>
      </c>
      <c r="K59" s="19"/>
      <c r="L59" s="27" t="s">
        <v>591</v>
      </c>
    </row>
    <row r="60" spans="1:12" x14ac:dyDescent="0.3">
      <c r="A60" s="19"/>
      <c r="B60" s="19" t="s">
        <v>342</v>
      </c>
      <c r="C60" s="19" t="s">
        <v>351</v>
      </c>
      <c r="D60" s="19">
        <v>2</v>
      </c>
      <c r="E60" s="19">
        <v>1</v>
      </c>
      <c r="F60" s="38">
        <f t="shared" si="7"/>
        <v>3</v>
      </c>
      <c r="G60" s="24"/>
      <c r="H60" s="27"/>
      <c r="I60" s="21" t="s">
        <v>295</v>
      </c>
      <c r="J60" s="19" t="s">
        <v>179</v>
      </c>
      <c r="K60" s="19"/>
      <c r="L60" s="27"/>
    </row>
    <row r="61" spans="1:12" x14ac:dyDescent="0.3">
      <c r="A61" s="19"/>
      <c r="B61" s="19" t="s">
        <v>343</v>
      </c>
      <c r="C61" s="19" t="s">
        <v>352</v>
      </c>
      <c r="D61" s="19">
        <v>2</v>
      </c>
      <c r="E61" s="19">
        <v>1</v>
      </c>
      <c r="F61" s="38">
        <f t="shared" si="7"/>
        <v>3</v>
      </c>
      <c r="G61" s="24"/>
      <c r="H61" s="27"/>
      <c r="I61" s="21" t="s">
        <v>295</v>
      </c>
      <c r="J61" s="19" t="s">
        <v>179</v>
      </c>
      <c r="K61" s="19"/>
      <c r="L61" s="27"/>
    </row>
    <row r="62" spans="1:12" x14ac:dyDescent="0.3">
      <c r="A62" s="19"/>
      <c r="B62" s="19" t="s">
        <v>491</v>
      </c>
      <c r="C62" s="19" t="s">
        <v>493</v>
      </c>
      <c r="D62" s="19">
        <v>3</v>
      </c>
      <c r="E62" s="19"/>
      <c r="F62" s="38">
        <f t="shared" si="7"/>
        <v>3</v>
      </c>
      <c r="G62" s="24"/>
      <c r="H62" s="27"/>
      <c r="I62" s="21" t="s">
        <v>472</v>
      </c>
      <c r="J62" s="19" t="s">
        <v>179</v>
      </c>
      <c r="K62" s="19"/>
      <c r="L62" s="27"/>
    </row>
    <row r="63" spans="1:12" x14ac:dyDescent="0.3">
      <c r="A63" s="19"/>
      <c r="B63" s="19" t="s">
        <v>492</v>
      </c>
      <c r="C63" s="19" t="s">
        <v>494</v>
      </c>
      <c r="D63" s="19">
        <v>3</v>
      </c>
      <c r="E63" s="19"/>
      <c r="F63" s="38">
        <f t="shared" si="7"/>
        <v>3</v>
      </c>
      <c r="G63" s="24"/>
      <c r="H63" s="27"/>
      <c r="I63" s="21" t="s">
        <v>472</v>
      </c>
      <c r="J63" s="19" t="s">
        <v>179</v>
      </c>
      <c r="K63" s="19"/>
      <c r="L63" s="27"/>
    </row>
    <row r="64" spans="1:12" s="17" customFormat="1" x14ac:dyDescent="0.3">
      <c r="A64" s="57" t="s">
        <v>73</v>
      </c>
      <c r="B64" s="57"/>
      <c r="C64" s="57"/>
      <c r="D64" s="30">
        <f>SUM(D58:D63)</f>
        <v>16</v>
      </c>
      <c r="E64" s="30">
        <v>2</v>
      </c>
      <c r="F64" s="30">
        <f>SUM(D64:E64)</f>
        <v>18</v>
      </c>
      <c r="G64" s="25"/>
      <c r="H64" s="28"/>
      <c r="I64" s="22"/>
      <c r="J64" s="30"/>
      <c r="K64" s="30"/>
      <c r="L64" s="28"/>
    </row>
    <row r="65" spans="1:12" x14ac:dyDescent="0.3">
      <c r="A65" s="19"/>
      <c r="B65" s="19"/>
      <c r="C65" s="19" t="s">
        <v>459</v>
      </c>
      <c r="D65" s="19"/>
      <c r="E65" s="19"/>
      <c r="F65" s="19"/>
      <c r="G65" s="24"/>
      <c r="H65" s="27"/>
      <c r="I65" s="21"/>
      <c r="J65" s="19"/>
      <c r="K65" s="19"/>
      <c r="L65" s="27"/>
    </row>
    <row r="66" spans="1:12" x14ac:dyDescent="0.3">
      <c r="A66" s="19"/>
      <c r="B66" s="19" t="s">
        <v>460</v>
      </c>
      <c r="C66" s="19" t="s">
        <v>462</v>
      </c>
      <c r="D66" s="19">
        <v>3</v>
      </c>
      <c r="E66" s="19"/>
      <c r="F66" s="19"/>
      <c r="G66" s="24"/>
      <c r="H66" s="27"/>
      <c r="I66" s="21" t="s">
        <v>295</v>
      </c>
      <c r="J66" s="19"/>
      <c r="K66" s="19"/>
      <c r="L66" s="27"/>
    </row>
    <row r="67" spans="1:12" x14ac:dyDescent="0.3">
      <c r="A67" s="19"/>
      <c r="B67" s="19" t="s">
        <v>461</v>
      </c>
      <c r="C67" s="19" t="s">
        <v>463</v>
      </c>
      <c r="D67" s="19">
        <v>3</v>
      </c>
      <c r="E67" s="19"/>
      <c r="F67" s="19"/>
      <c r="G67" s="24"/>
      <c r="H67" s="27"/>
      <c r="I67" s="21" t="s">
        <v>295</v>
      </c>
      <c r="J67" s="19"/>
      <c r="K67" s="19"/>
      <c r="L67" s="27"/>
    </row>
    <row r="68" spans="1:12" x14ac:dyDescent="0.3">
      <c r="A68" s="19"/>
      <c r="B68" s="19"/>
      <c r="C68" s="19"/>
      <c r="D68" s="19"/>
      <c r="E68" s="19"/>
      <c r="F68" s="19"/>
      <c r="G68" s="24"/>
      <c r="H68" s="27" t="s">
        <v>81</v>
      </c>
      <c r="I68" s="21"/>
      <c r="J68" s="19"/>
      <c r="K68" s="19"/>
      <c r="L68" s="27"/>
    </row>
    <row r="69" spans="1:12" x14ac:dyDescent="0.3">
      <c r="A69" s="19"/>
      <c r="B69" s="19" t="s">
        <v>62</v>
      </c>
      <c r="C69" s="19" t="s">
        <v>71</v>
      </c>
      <c r="D69" s="19">
        <v>3</v>
      </c>
      <c r="E69" s="19"/>
      <c r="F69" s="38">
        <f t="shared" ref="F69:F74" si="8">SUM(D69:E69)</f>
        <v>3</v>
      </c>
      <c r="G69" s="24"/>
      <c r="H69" s="27"/>
      <c r="I69" s="21" t="s">
        <v>92</v>
      </c>
      <c r="J69" s="19" t="s">
        <v>179</v>
      </c>
      <c r="K69" s="19"/>
      <c r="L69" s="27"/>
    </row>
    <row r="70" spans="1:12" x14ac:dyDescent="0.3">
      <c r="A70" s="19"/>
      <c r="B70" s="19" t="s">
        <v>346</v>
      </c>
      <c r="C70" s="19" t="s">
        <v>356</v>
      </c>
      <c r="D70" s="19">
        <v>2</v>
      </c>
      <c r="E70" s="19">
        <v>1</v>
      </c>
      <c r="F70" s="38">
        <f t="shared" si="8"/>
        <v>3</v>
      </c>
      <c r="G70" s="24"/>
      <c r="H70" s="27"/>
      <c r="I70" s="21" t="s">
        <v>295</v>
      </c>
      <c r="J70" s="19" t="s">
        <v>179</v>
      </c>
      <c r="K70" s="19"/>
      <c r="L70" s="27"/>
    </row>
    <row r="71" spans="1:12" x14ac:dyDescent="0.3">
      <c r="A71" s="19"/>
      <c r="B71" s="19" t="s">
        <v>499</v>
      </c>
      <c r="C71" s="19" t="s">
        <v>500</v>
      </c>
      <c r="D71" s="19">
        <v>3</v>
      </c>
      <c r="E71" s="19"/>
      <c r="F71" s="38">
        <f t="shared" si="8"/>
        <v>3</v>
      </c>
      <c r="G71" s="24"/>
      <c r="H71" s="27"/>
      <c r="I71" s="21" t="s">
        <v>472</v>
      </c>
      <c r="J71" s="19" t="s">
        <v>179</v>
      </c>
      <c r="K71" s="19"/>
      <c r="L71" s="27"/>
    </row>
    <row r="72" spans="1:12" x14ac:dyDescent="0.3">
      <c r="A72" s="19"/>
      <c r="B72" s="19" t="s">
        <v>37</v>
      </c>
      <c r="C72" s="19" t="s">
        <v>115</v>
      </c>
      <c r="D72" s="19">
        <v>3</v>
      </c>
      <c r="E72" s="19"/>
      <c r="F72" s="38">
        <f t="shared" si="8"/>
        <v>3</v>
      </c>
      <c r="G72" s="24"/>
      <c r="H72" s="27"/>
      <c r="I72" s="21" t="s">
        <v>102</v>
      </c>
      <c r="J72" s="19" t="s">
        <v>179</v>
      </c>
      <c r="K72" s="19"/>
      <c r="L72" s="27"/>
    </row>
    <row r="73" spans="1:12" x14ac:dyDescent="0.3">
      <c r="A73" s="19"/>
      <c r="B73" s="19" t="s">
        <v>549</v>
      </c>
      <c r="C73" s="19" t="s">
        <v>501</v>
      </c>
      <c r="D73" s="19">
        <v>3</v>
      </c>
      <c r="E73" s="19"/>
      <c r="F73" s="38">
        <f t="shared" si="8"/>
        <v>3</v>
      </c>
      <c r="G73" s="24"/>
      <c r="H73" s="27"/>
      <c r="I73" s="21" t="s">
        <v>472</v>
      </c>
      <c r="J73" s="19" t="s">
        <v>179</v>
      </c>
      <c r="K73" s="19"/>
      <c r="L73" s="27"/>
    </row>
    <row r="74" spans="1:12" x14ac:dyDescent="0.3">
      <c r="A74" s="19"/>
      <c r="B74" s="19" t="s">
        <v>464</v>
      </c>
      <c r="C74" s="19" t="s">
        <v>466</v>
      </c>
      <c r="D74" s="19">
        <v>2</v>
      </c>
      <c r="E74" s="19">
        <v>1</v>
      </c>
      <c r="F74" s="38">
        <f t="shared" si="8"/>
        <v>3</v>
      </c>
      <c r="G74" s="24"/>
      <c r="H74" s="27"/>
      <c r="I74" s="21" t="s">
        <v>295</v>
      </c>
      <c r="J74" s="19" t="s">
        <v>179</v>
      </c>
      <c r="K74" s="19"/>
      <c r="L74" s="27"/>
    </row>
    <row r="75" spans="1:12" s="17" customFormat="1" x14ac:dyDescent="0.3">
      <c r="A75" s="57" t="s">
        <v>73</v>
      </c>
      <c r="B75" s="57"/>
      <c r="C75" s="57"/>
      <c r="D75" s="30">
        <f>SUM(D69:D74)</f>
        <v>16</v>
      </c>
      <c r="E75" s="30">
        <v>2</v>
      </c>
      <c r="F75" s="30">
        <f xml:space="preserve"> SUM(D75:E75)</f>
        <v>18</v>
      </c>
      <c r="G75" s="25"/>
      <c r="H75" s="28"/>
      <c r="I75" s="22"/>
      <c r="J75" s="30"/>
      <c r="K75" s="30"/>
      <c r="L75" s="28"/>
    </row>
    <row r="77" spans="1:12" x14ac:dyDescent="0.3">
      <c r="A77" s="6" t="s">
        <v>459</v>
      </c>
      <c r="B77" s="6"/>
      <c r="C77" s="6"/>
    </row>
    <row r="78" spans="1:12" x14ac:dyDescent="0.3">
      <c r="B78" t="s">
        <v>495</v>
      </c>
      <c r="C78" t="s">
        <v>497</v>
      </c>
      <c r="D78">
        <v>3</v>
      </c>
      <c r="I78" s="3" t="s">
        <v>472</v>
      </c>
      <c r="J78" t="s">
        <v>179</v>
      </c>
    </row>
    <row r="79" spans="1:12" x14ac:dyDescent="0.3">
      <c r="B79" t="s">
        <v>496</v>
      </c>
      <c r="C79" t="s">
        <v>498</v>
      </c>
      <c r="D79">
        <v>3</v>
      </c>
      <c r="I79" s="3" t="s">
        <v>472</v>
      </c>
      <c r="J79" t="s">
        <v>179</v>
      </c>
    </row>
    <row r="81" spans="1:2" x14ac:dyDescent="0.3">
      <c r="B81" s="38" t="s">
        <v>603</v>
      </c>
    </row>
    <row r="82" spans="1:2" x14ac:dyDescent="0.3">
      <c r="A82" s="38" t="s">
        <v>608</v>
      </c>
      <c r="B82" s="38">
        <f>SUMIF(I2:I74,I72,F2:F74)</f>
        <v>11</v>
      </c>
    </row>
    <row r="83" spans="1:2" x14ac:dyDescent="0.3">
      <c r="A83" s="38" t="s">
        <v>618</v>
      </c>
      <c r="B83" s="38">
        <f>SUMIF(I2:I74,I70,F2:F74)</f>
        <v>42</v>
      </c>
    </row>
    <row r="84" spans="1:2" x14ac:dyDescent="0.3">
      <c r="A84" s="38" t="s">
        <v>621</v>
      </c>
      <c r="B84" s="38">
        <f>SUMIF(I2:I74,I73,F2:F74)</f>
        <v>42</v>
      </c>
    </row>
    <row r="85" spans="1:2" x14ac:dyDescent="0.3">
      <c r="A85" s="38" t="s">
        <v>92</v>
      </c>
      <c r="B85" s="38">
        <f>SUMIF(I2:I74,I58,F2:F74)</f>
        <v>55</v>
      </c>
    </row>
    <row r="86" spans="1:2" x14ac:dyDescent="0.3">
      <c r="A86" s="38" t="s">
        <v>610</v>
      </c>
      <c r="B86" s="38">
        <f>SUM(B82:B85)</f>
        <v>150</v>
      </c>
    </row>
    <row r="87" spans="1:2" x14ac:dyDescent="0.3">
      <c r="A87" s="38"/>
      <c r="B87" s="38"/>
    </row>
    <row r="88" spans="1:2" x14ac:dyDescent="0.3">
      <c r="A88" s="38"/>
      <c r="B88" s="38"/>
    </row>
    <row r="89" spans="1:2" x14ac:dyDescent="0.3">
      <c r="A89" s="38" t="s">
        <v>604</v>
      </c>
      <c r="B89" s="38"/>
    </row>
    <row r="90" spans="1:2" x14ac:dyDescent="0.3">
      <c r="A90" s="38" t="s">
        <v>605</v>
      </c>
      <c r="B90" s="38" t="s">
        <v>606</v>
      </c>
    </row>
    <row r="91" spans="1:2" x14ac:dyDescent="0.3">
      <c r="A91" s="38" t="s">
        <v>607</v>
      </c>
      <c r="B91" s="38" t="s">
        <v>606</v>
      </c>
    </row>
  </sheetData>
  <mergeCells count="11">
    <mergeCell ref="D1:F1"/>
    <mergeCell ref="A75:C75"/>
    <mergeCell ref="A53:C53"/>
    <mergeCell ref="A56:C56"/>
    <mergeCell ref="A64:C64"/>
    <mergeCell ref="D2:F2"/>
    <mergeCell ref="A10:C10"/>
    <mergeCell ref="A19:C19"/>
    <mergeCell ref="A27:C27"/>
    <mergeCell ref="A36:C36"/>
    <mergeCell ref="A45:C4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"/>
  <sheetViews>
    <sheetView topLeftCell="A28" zoomScaleNormal="100" workbookViewId="0">
      <selection activeCell="C40" sqref="C40"/>
    </sheetView>
  </sheetViews>
  <sheetFormatPr defaultRowHeight="14.4" x14ac:dyDescent="0.3"/>
  <cols>
    <col min="2" max="2" width="12.109375" bestFit="1" customWidth="1"/>
    <col min="3" max="3" width="44.88671875" bestFit="1" customWidth="1"/>
    <col min="4" max="4" width="16.6640625" customWidth="1"/>
    <col min="5" max="5" width="12.33203125" customWidth="1"/>
    <col min="6" max="6" width="17.109375" customWidth="1"/>
    <col min="7" max="7" width="10.33203125" style="1" bestFit="1" customWidth="1"/>
    <col min="8" max="8" width="14.88671875" style="2" bestFit="1" customWidth="1"/>
    <col min="9" max="9" width="30.44140625" style="3" bestFit="1" customWidth="1"/>
    <col min="10" max="10" width="39.109375" bestFit="1" customWidth="1"/>
    <col min="11" max="11" width="5.6640625" bestFit="1" customWidth="1"/>
    <col min="12" max="12" width="158.88671875" style="2" bestFit="1" customWidth="1"/>
  </cols>
  <sheetData>
    <row r="1" spans="1:12" x14ac:dyDescent="0.3">
      <c r="A1" s="11" t="s">
        <v>0</v>
      </c>
      <c r="B1" s="11" t="s">
        <v>1</v>
      </c>
      <c r="C1" s="11" t="s">
        <v>2</v>
      </c>
      <c r="D1" s="59" t="s">
        <v>3</v>
      </c>
      <c r="E1" s="59"/>
      <c r="F1" s="59"/>
      <c r="G1" s="12" t="s">
        <v>4</v>
      </c>
      <c r="H1" s="13" t="s">
        <v>5</v>
      </c>
      <c r="I1" s="14" t="s">
        <v>6</v>
      </c>
      <c r="J1" s="11" t="s">
        <v>7</v>
      </c>
      <c r="K1" s="11" t="s">
        <v>8</v>
      </c>
      <c r="L1" s="13" t="s">
        <v>9</v>
      </c>
    </row>
    <row r="2" spans="1:12" x14ac:dyDescent="0.3">
      <c r="A2" s="11" t="s">
        <v>550</v>
      </c>
      <c r="B2" s="11" t="s">
        <v>10</v>
      </c>
      <c r="C2" s="11" t="s">
        <v>11</v>
      </c>
      <c r="D2" s="59" t="s">
        <v>12</v>
      </c>
      <c r="E2" s="59"/>
      <c r="F2" s="59"/>
      <c r="G2" s="12" t="s">
        <v>13</v>
      </c>
      <c r="H2" s="13" t="s">
        <v>14</v>
      </c>
      <c r="I2" s="14"/>
      <c r="J2" s="11"/>
      <c r="K2" s="11"/>
      <c r="L2" s="13"/>
    </row>
    <row r="3" spans="1:12" x14ac:dyDescent="0.3">
      <c r="A3" s="11"/>
      <c r="B3" s="11"/>
      <c r="C3" s="11"/>
      <c r="D3" s="11" t="s">
        <v>282</v>
      </c>
      <c r="E3" s="11" t="s">
        <v>283</v>
      </c>
      <c r="F3" s="11" t="s">
        <v>284</v>
      </c>
      <c r="G3" s="12"/>
      <c r="H3" s="13"/>
      <c r="I3" s="14"/>
      <c r="J3" s="11"/>
      <c r="K3" s="11"/>
      <c r="L3" s="13"/>
    </row>
    <row r="4" spans="1:12" x14ac:dyDescent="0.3">
      <c r="A4" s="19"/>
      <c r="B4" s="19" t="s">
        <v>16</v>
      </c>
      <c r="C4" s="19" t="s">
        <v>87</v>
      </c>
      <c r="D4" s="19">
        <v>3</v>
      </c>
      <c r="E4" s="19"/>
      <c r="F4" s="19">
        <f>SUM(D4:E4)</f>
        <v>3</v>
      </c>
      <c r="G4" s="24"/>
      <c r="H4" s="27"/>
      <c r="I4" s="21" t="s">
        <v>92</v>
      </c>
      <c r="J4" s="19" t="s">
        <v>179</v>
      </c>
      <c r="K4" s="19"/>
      <c r="L4" s="27"/>
    </row>
    <row r="5" spans="1:12" x14ac:dyDescent="0.3">
      <c r="A5" s="19"/>
      <c r="B5" s="19" t="s">
        <v>17</v>
      </c>
      <c r="C5" s="19" t="s">
        <v>88</v>
      </c>
      <c r="D5" s="19">
        <v>3</v>
      </c>
      <c r="E5" s="19"/>
      <c r="F5" s="38">
        <f t="shared" ref="F5:F9" si="0">SUM(D5:E5)</f>
        <v>3</v>
      </c>
      <c r="G5" s="24"/>
      <c r="H5" s="27"/>
      <c r="I5" s="21" t="s">
        <v>102</v>
      </c>
      <c r="J5" s="19" t="s">
        <v>179</v>
      </c>
      <c r="K5" s="19"/>
      <c r="L5" s="27"/>
    </row>
    <row r="6" spans="1:12" x14ac:dyDescent="0.3">
      <c r="A6" s="19"/>
      <c r="B6" s="19" t="s">
        <v>503</v>
      </c>
      <c r="C6" s="19" t="s">
        <v>505</v>
      </c>
      <c r="D6" s="19">
        <v>3</v>
      </c>
      <c r="E6" s="19"/>
      <c r="F6" s="38">
        <f t="shared" si="0"/>
        <v>3</v>
      </c>
      <c r="G6" s="24"/>
      <c r="H6" s="27"/>
      <c r="I6" s="21" t="s">
        <v>507</v>
      </c>
      <c r="J6" s="19" t="s">
        <v>179</v>
      </c>
      <c r="K6" s="19"/>
      <c r="L6" s="27"/>
    </row>
    <row r="7" spans="1:12" x14ac:dyDescent="0.3">
      <c r="A7" s="19"/>
      <c r="B7" s="19" t="s">
        <v>504</v>
      </c>
      <c r="C7" s="19" t="s">
        <v>506</v>
      </c>
      <c r="D7" s="19">
        <v>3</v>
      </c>
      <c r="E7" s="19"/>
      <c r="F7" s="38">
        <f t="shared" si="0"/>
        <v>3</v>
      </c>
      <c r="G7" s="24"/>
      <c r="H7" s="27"/>
      <c r="I7" s="21" t="s">
        <v>507</v>
      </c>
      <c r="J7" s="19" t="s">
        <v>179</v>
      </c>
      <c r="K7" s="19"/>
      <c r="L7" s="27"/>
    </row>
    <row r="8" spans="1:12" x14ac:dyDescent="0.3">
      <c r="A8" s="19"/>
      <c r="B8" s="19" t="s">
        <v>468</v>
      </c>
      <c r="C8" s="19" t="s">
        <v>470</v>
      </c>
      <c r="D8" s="19">
        <v>3</v>
      </c>
      <c r="E8" s="19"/>
      <c r="F8" s="38">
        <f t="shared" si="0"/>
        <v>3</v>
      </c>
      <c r="G8" s="24"/>
      <c r="H8" s="27"/>
      <c r="I8" s="21" t="s">
        <v>472</v>
      </c>
      <c r="J8" s="19" t="s">
        <v>179</v>
      </c>
      <c r="K8" s="19"/>
      <c r="L8" s="27"/>
    </row>
    <row r="9" spans="1:12" x14ac:dyDescent="0.3">
      <c r="A9" s="19"/>
      <c r="B9" s="19" t="s">
        <v>469</v>
      </c>
      <c r="C9" s="19" t="s">
        <v>471</v>
      </c>
      <c r="D9" s="19">
        <v>2</v>
      </c>
      <c r="E9" s="19">
        <v>1</v>
      </c>
      <c r="F9" s="38">
        <f t="shared" si="0"/>
        <v>3</v>
      </c>
      <c r="G9" s="24"/>
      <c r="H9" s="27"/>
      <c r="I9" s="21" t="s">
        <v>472</v>
      </c>
      <c r="J9" s="19" t="s">
        <v>179</v>
      </c>
      <c r="K9" s="19"/>
      <c r="L9" s="27"/>
    </row>
    <row r="10" spans="1:12" s="17" customFormat="1" x14ac:dyDescent="0.3">
      <c r="A10" s="57" t="s">
        <v>73</v>
      </c>
      <c r="B10" s="57"/>
      <c r="C10" s="57"/>
      <c r="D10" s="30">
        <f>SUM(D4:D9)</f>
        <v>17</v>
      </c>
      <c r="E10" s="30">
        <v>1</v>
      </c>
      <c r="F10" s="30">
        <f>SUM(D10:E10)</f>
        <v>18</v>
      </c>
      <c r="G10" s="25"/>
      <c r="H10" s="28"/>
      <c r="I10" s="22"/>
      <c r="J10" s="30"/>
      <c r="K10" s="30"/>
      <c r="L10" s="28"/>
    </row>
    <row r="11" spans="1:12" x14ac:dyDescent="0.3">
      <c r="A11" s="19"/>
      <c r="B11" s="19"/>
      <c r="C11" s="19"/>
      <c r="D11" s="19"/>
      <c r="E11" s="19"/>
      <c r="F11" s="19"/>
      <c r="G11" s="24"/>
      <c r="H11" s="27" t="s">
        <v>215</v>
      </c>
      <c r="I11" s="21"/>
      <c r="J11" s="19"/>
      <c r="K11" s="19"/>
      <c r="L11" s="27"/>
    </row>
    <row r="12" spans="1:12" x14ac:dyDescent="0.3">
      <c r="A12" s="19"/>
      <c r="B12" s="19" t="s">
        <v>22</v>
      </c>
      <c r="C12" s="19" t="s">
        <v>95</v>
      </c>
      <c r="D12" s="19">
        <v>2</v>
      </c>
      <c r="E12" s="19"/>
      <c r="F12" s="19">
        <f>SUM(D12:E12)</f>
        <v>2</v>
      </c>
      <c r="G12" s="24"/>
      <c r="H12" s="27"/>
      <c r="I12" s="21" t="s">
        <v>92</v>
      </c>
      <c r="J12" s="19" t="s">
        <v>179</v>
      </c>
      <c r="K12" s="19"/>
      <c r="L12" s="27"/>
    </row>
    <row r="13" spans="1:12" x14ac:dyDescent="0.3">
      <c r="A13" s="19"/>
      <c r="B13" s="19" t="s">
        <v>23</v>
      </c>
      <c r="C13" s="19" t="s">
        <v>96</v>
      </c>
      <c r="D13" s="19">
        <v>2</v>
      </c>
      <c r="E13" s="19"/>
      <c r="F13" s="38">
        <f t="shared" ref="F13:F18" si="1">SUM(D13:E13)</f>
        <v>2</v>
      </c>
      <c r="G13" s="24"/>
      <c r="H13" s="27"/>
      <c r="I13" s="21" t="s">
        <v>92</v>
      </c>
      <c r="J13" s="19" t="s">
        <v>179</v>
      </c>
      <c r="K13" s="19"/>
      <c r="L13" s="27" t="s">
        <v>592</v>
      </c>
    </row>
    <row r="14" spans="1:12" x14ac:dyDescent="0.3">
      <c r="A14" s="19"/>
      <c r="B14" s="19" t="s">
        <v>509</v>
      </c>
      <c r="C14" s="19" t="s">
        <v>510</v>
      </c>
      <c r="D14" s="19">
        <v>3</v>
      </c>
      <c r="E14" s="19"/>
      <c r="F14" s="38">
        <f t="shared" si="1"/>
        <v>3</v>
      </c>
      <c r="G14" s="24"/>
      <c r="H14" s="27"/>
      <c r="I14" s="21" t="s">
        <v>507</v>
      </c>
      <c r="J14" s="19" t="s">
        <v>179</v>
      </c>
      <c r="K14" s="19"/>
      <c r="L14" s="27"/>
    </row>
    <row r="15" spans="1:12" x14ac:dyDescent="0.3">
      <c r="A15" s="19"/>
      <c r="B15" s="19" t="s">
        <v>508</v>
      </c>
      <c r="C15" s="19" t="s">
        <v>511</v>
      </c>
      <c r="D15" s="19">
        <v>3</v>
      </c>
      <c r="E15" s="19"/>
      <c r="F15" s="38">
        <f t="shared" si="1"/>
        <v>3</v>
      </c>
      <c r="G15" s="24"/>
      <c r="H15" s="27"/>
      <c r="I15" s="21" t="s">
        <v>507</v>
      </c>
      <c r="J15" s="19" t="s">
        <v>179</v>
      </c>
      <c r="K15" s="19"/>
      <c r="L15" s="27"/>
    </row>
    <row r="16" spans="1:12" x14ac:dyDescent="0.3">
      <c r="A16" s="19"/>
      <c r="B16" s="19" t="s">
        <v>474</v>
      </c>
      <c r="C16" s="19" t="s">
        <v>475</v>
      </c>
      <c r="D16" s="19">
        <v>2</v>
      </c>
      <c r="E16" s="19">
        <v>1</v>
      </c>
      <c r="F16" s="38">
        <f t="shared" si="1"/>
        <v>3</v>
      </c>
      <c r="G16" s="24"/>
      <c r="H16" s="27"/>
      <c r="I16" s="21" t="s">
        <v>472</v>
      </c>
      <c r="J16" s="19" t="s">
        <v>179</v>
      </c>
      <c r="K16" s="19"/>
      <c r="L16" s="27"/>
    </row>
    <row r="17" spans="1:12" x14ac:dyDescent="0.3">
      <c r="A17" s="19"/>
      <c r="B17" s="19" t="s">
        <v>473</v>
      </c>
      <c r="C17" s="19" t="s">
        <v>476</v>
      </c>
      <c r="D17" s="19">
        <v>3</v>
      </c>
      <c r="E17" s="19"/>
      <c r="F17" s="38">
        <f t="shared" si="1"/>
        <v>3</v>
      </c>
      <c r="G17" s="24"/>
      <c r="H17" s="27"/>
      <c r="I17" s="21" t="s">
        <v>472</v>
      </c>
      <c r="J17" s="19" t="s">
        <v>179</v>
      </c>
      <c r="K17" s="19"/>
      <c r="L17" s="27"/>
    </row>
    <row r="18" spans="1:12" x14ac:dyDescent="0.3">
      <c r="A18" s="19"/>
      <c r="B18" s="19" t="s">
        <v>29</v>
      </c>
      <c r="C18" s="19" t="s">
        <v>447</v>
      </c>
      <c r="D18" s="19">
        <v>2</v>
      </c>
      <c r="E18" s="19"/>
      <c r="F18" s="38">
        <f t="shared" si="1"/>
        <v>2</v>
      </c>
      <c r="G18" s="24"/>
      <c r="H18" s="27"/>
      <c r="I18" s="21" t="s">
        <v>92</v>
      </c>
      <c r="J18" s="19" t="s">
        <v>179</v>
      </c>
      <c r="K18" s="19"/>
      <c r="L18" s="27"/>
    </row>
    <row r="19" spans="1:12" s="17" customFormat="1" x14ac:dyDescent="0.3">
      <c r="A19" s="57" t="s">
        <v>73</v>
      </c>
      <c r="B19" s="57"/>
      <c r="C19" s="57"/>
      <c r="D19" s="30">
        <f>SUM(D12:D18)</f>
        <v>17</v>
      </c>
      <c r="E19" s="30">
        <v>1</v>
      </c>
      <c r="F19" s="30">
        <f>SUM(D19:E19)</f>
        <v>18</v>
      </c>
      <c r="G19" s="25"/>
      <c r="H19" s="28"/>
      <c r="I19" s="22"/>
      <c r="J19" s="30"/>
      <c r="K19" s="30"/>
      <c r="L19" s="28"/>
    </row>
    <row r="20" spans="1:12" x14ac:dyDescent="0.3">
      <c r="A20" s="19"/>
      <c r="B20" s="19"/>
      <c r="C20" s="19"/>
      <c r="D20" s="19"/>
      <c r="E20" s="19"/>
      <c r="F20" s="19"/>
      <c r="G20" s="24" t="s">
        <v>136</v>
      </c>
      <c r="H20" s="27" t="s">
        <v>14</v>
      </c>
      <c r="I20" s="21"/>
      <c r="J20" s="19"/>
      <c r="K20" s="19"/>
      <c r="L20" s="27"/>
    </row>
    <row r="21" spans="1:12" x14ac:dyDescent="0.3">
      <c r="A21" s="19"/>
      <c r="B21" s="19" t="s">
        <v>30</v>
      </c>
      <c r="C21" s="19" t="s">
        <v>103</v>
      </c>
      <c r="D21" s="19">
        <v>3</v>
      </c>
      <c r="E21" s="19"/>
      <c r="F21" s="19">
        <f>SUM(D21:E21)</f>
        <v>3</v>
      </c>
      <c r="G21" s="24"/>
      <c r="H21" s="27"/>
      <c r="I21" s="21" t="s">
        <v>92</v>
      </c>
      <c r="J21" s="19" t="s">
        <v>179</v>
      </c>
      <c r="K21" s="19"/>
      <c r="L21" s="27" t="s">
        <v>594</v>
      </c>
    </row>
    <row r="22" spans="1:12" x14ac:dyDescent="0.3">
      <c r="A22" s="19"/>
      <c r="B22" s="19" t="s">
        <v>31</v>
      </c>
      <c r="C22" s="19" t="s">
        <v>406</v>
      </c>
      <c r="D22" s="19">
        <v>3</v>
      </c>
      <c r="E22" s="19"/>
      <c r="F22" s="38">
        <f t="shared" ref="F22:F26" si="2">SUM(D22:E22)</f>
        <v>3</v>
      </c>
      <c r="G22" s="24"/>
      <c r="H22" s="27"/>
      <c r="I22" s="21" t="s">
        <v>92</v>
      </c>
      <c r="J22" s="19" t="s">
        <v>179</v>
      </c>
      <c r="K22" s="19"/>
      <c r="L22" s="27"/>
    </row>
    <row r="23" spans="1:12" x14ac:dyDescent="0.3">
      <c r="A23" s="19"/>
      <c r="B23" s="19" t="s">
        <v>512</v>
      </c>
      <c r="C23" s="19" t="s">
        <v>514</v>
      </c>
      <c r="D23" s="19">
        <v>3</v>
      </c>
      <c r="E23" s="19"/>
      <c r="F23" s="38">
        <f t="shared" si="2"/>
        <v>3</v>
      </c>
      <c r="G23" s="24"/>
      <c r="H23" s="27"/>
      <c r="I23" s="21" t="s">
        <v>507</v>
      </c>
      <c r="J23" s="19" t="s">
        <v>179</v>
      </c>
      <c r="K23" s="19"/>
      <c r="L23" s="27"/>
    </row>
    <row r="24" spans="1:12" x14ac:dyDescent="0.3">
      <c r="A24" s="19"/>
      <c r="B24" s="19" t="s">
        <v>513</v>
      </c>
      <c r="C24" s="19" t="s">
        <v>515</v>
      </c>
      <c r="D24" s="19">
        <v>3</v>
      </c>
      <c r="E24" s="19"/>
      <c r="F24" s="38">
        <f t="shared" si="2"/>
        <v>3</v>
      </c>
      <c r="G24" s="24"/>
      <c r="H24" s="27"/>
      <c r="I24" s="21" t="s">
        <v>507</v>
      </c>
      <c r="J24" s="19" t="s">
        <v>179</v>
      </c>
      <c r="K24" s="19"/>
      <c r="L24" s="27"/>
    </row>
    <row r="25" spans="1:12" x14ac:dyDescent="0.3">
      <c r="A25" s="19"/>
      <c r="B25" s="19" t="s">
        <v>477</v>
      </c>
      <c r="C25" s="19" t="s">
        <v>479</v>
      </c>
      <c r="D25" s="19">
        <v>2</v>
      </c>
      <c r="E25" s="19">
        <v>1</v>
      </c>
      <c r="F25" s="38">
        <f t="shared" si="2"/>
        <v>3</v>
      </c>
      <c r="G25" s="24"/>
      <c r="H25" s="27"/>
      <c r="I25" s="21" t="s">
        <v>472</v>
      </c>
      <c r="J25" s="19" t="s">
        <v>179</v>
      </c>
      <c r="K25" s="19"/>
      <c r="L25" s="27"/>
    </row>
    <row r="26" spans="1:12" x14ac:dyDescent="0.3">
      <c r="A26" s="19"/>
      <c r="B26" s="19" t="s">
        <v>478</v>
      </c>
      <c r="C26" s="19" t="s">
        <v>480</v>
      </c>
      <c r="D26" s="19">
        <v>2</v>
      </c>
      <c r="E26" s="19">
        <v>1</v>
      </c>
      <c r="F26" s="38">
        <f t="shared" si="2"/>
        <v>3</v>
      </c>
      <c r="G26" s="24"/>
      <c r="H26" s="27"/>
      <c r="I26" s="21" t="s">
        <v>472</v>
      </c>
      <c r="J26" s="19" t="s">
        <v>179</v>
      </c>
      <c r="K26" s="19"/>
      <c r="L26" s="27"/>
    </row>
    <row r="27" spans="1:12" s="17" customFormat="1" x14ac:dyDescent="0.3">
      <c r="A27" s="57" t="s">
        <v>73</v>
      </c>
      <c r="B27" s="57"/>
      <c r="C27" s="57"/>
      <c r="D27" s="30">
        <f>SUM(D21:D26)</f>
        <v>16</v>
      </c>
      <c r="E27" s="30">
        <v>2</v>
      </c>
      <c r="F27" s="30">
        <f>SUM(D27:E27)</f>
        <v>18</v>
      </c>
      <c r="G27" s="25"/>
      <c r="H27" s="28"/>
      <c r="I27" s="22"/>
      <c r="J27" s="30"/>
      <c r="K27" s="30"/>
      <c r="L27" s="28"/>
    </row>
    <row r="28" spans="1:12" x14ac:dyDescent="0.3">
      <c r="A28" s="19"/>
      <c r="B28" s="19"/>
      <c r="C28" s="19"/>
      <c r="D28" s="19"/>
      <c r="E28" s="19"/>
      <c r="F28" s="19"/>
      <c r="G28" s="24"/>
      <c r="H28" s="27" t="s">
        <v>215</v>
      </c>
      <c r="I28" s="21"/>
      <c r="J28" s="19"/>
      <c r="K28" s="19"/>
      <c r="L28" s="27"/>
    </row>
    <row r="29" spans="1:12" x14ac:dyDescent="0.3">
      <c r="A29" s="19"/>
      <c r="B29" s="19" t="s">
        <v>35</v>
      </c>
      <c r="C29" s="19" t="s">
        <v>110</v>
      </c>
      <c r="D29" s="19">
        <v>3</v>
      </c>
      <c r="E29" s="19"/>
      <c r="F29" s="38">
        <f t="shared" ref="F29:F34" si="3">SUM(D29:E29)</f>
        <v>3</v>
      </c>
      <c r="G29" s="24"/>
      <c r="H29" s="27"/>
      <c r="I29" s="21" t="s">
        <v>92</v>
      </c>
      <c r="J29" s="19" t="s">
        <v>179</v>
      </c>
      <c r="K29" s="19"/>
      <c r="L29" s="27" t="s">
        <v>595</v>
      </c>
    </row>
    <row r="30" spans="1:12" x14ac:dyDescent="0.3">
      <c r="A30" s="19"/>
      <c r="B30" s="19" t="s">
        <v>36</v>
      </c>
      <c r="C30" s="19" t="s">
        <v>316</v>
      </c>
      <c r="D30" s="19">
        <v>3</v>
      </c>
      <c r="E30" s="19"/>
      <c r="F30" s="38">
        <f t="shared" si="3"/>
        <v>3</v>
      </c>
      <c r="G30" s="24"/>
      <c r="H30" s="27"/>
      <c r="I30" s="21" t="s">
        <v>92</v>
      </c>
      <c r="J30" s="19" t="s">
        <v>179</v>
      </c>
      <c r="K30" s="19"/>
      <c r="L30" s="27"/>
    </row>
    <row r="31" spans="1:12" x14ac:dyDescent="0.3">
      <c r="A31" s="19"/>
      <c r="B31" s="19" t="s">
        <v>37</v>
      </c>
      <c r="C31" s="19" t="s">
        <v>465</v>
      </c>
      <c r="D31" s="19">
        <v>3</v>
      </c>
      <c r="E31" s="19"/>
      <c r="F31" s="38">
        <f t="shared" si="3"/>
        <v>3</v>
      </c>
      <c r="G31" s="24"/>
      <c r="H31" s="27"/>
      <c r="I31" s="21" t="s">
        <v>102</v>
      </c>
      <c r="J31" s="19" t="s">
        <v>179</v>
      </c>
      <c r="K31" s="19"/>
      <c r="L31" s="27"/>
    </row>
    <row r="32" spans="1:12" x14ac:dyDescent="0.3">
      <c r="A32" s="19"/>
      <c r="B32" s="19" t="s">
        <v>516</v>
      </c>
      <c r="C32" s="19" t="s">
        <v>517</v>
      </c>
      <c r="D32" s="19">
        <v>3</v>
      </c>
      <c r="E32" s="19"/>
      <c r="F32" s="38">
        <f t="shared" si="3"/>
        <v>3</v>
      </c>
      <c r="G32" s="24"/>
      <c r="H32" s="27"/>
      <c r="I32" s="21" t="s">
        <v>507</v>
      </c>
      <c r="J32" s="19" t="s">
        <v>179</v>
      </c>
      <c r="K32" s="19"/>
      <c r="L32" s="27"/>
    </row>
    <row r="33" spans="1:12" x14ac:dyDescent="0.3">
      <c r="A33" s="19"/>
      <c r="B33" s="19" t="s">
        <v>633</v>
      </c>
      <c r="C33" s="19" t="s">
        <v>518</v>
      </c>
      <c r="D33" s="19">
        <v>3</v>
      </c>
      <c r="E33" s="19"/>
      <c r="F33" s="38">
        <f t="shared" si="3"/>
        <v>3</v>
      </c>
      <c r="G33" s="24"/>
      <c r="H33" s="27"/>
      <c r="I33" s="21" t="s">
        <v>507</v>
      </c>
      <c r="J33" s="19" t="s">
        <v>179</v>
      </c>
      <c r="K33" s="19"/>
      <c r="L33" s="27"/>
    </row>
    <row r="34" spans="1:12" x14ac:dyDescent="0.3">
      <c r="A34" s="19"/>
      <c r="B34" s="19" t="s">
        <v>481</v>
      </c>
      <c r="C34" s="19" t="s">
        <v>482</v>
      </c>
      <c r="D34" s="19">
        <v>3</v>
      </c>
      <c r="E34" s="19"/>
      <c r="F34" s="38">
        <f t="shared" si="3"/>
        <v>3</v>
      </c>
      <c r="G34" s="24"/>
      <c r="H34" s="27"/>
      <c r="I34" s="21" t="s">
        <v>472</v>
      </c>
      <c r="J34" s="19" t="s">
        <v>179</v>
      </c>
      <c r="K34" s="19"/>
      <c r="L34" s="27"/>
    </row>
    <row r="35" spans="1:12" s="17" customFormat="1" x14ac:dyDescent="0.3">
      <c r="A35" s="57" t="s">
        <v>73</v>
      </c>
      <c r="B35" s="57"/>
      <c r="C35" s="57"/>
      <c r="D35" s="30">
        <f>SUM(D29:D34)</f>
        <v>18</v>
      </c>
      <c r="E35" s="30"/>
      <c r="F35" s="30"/>
      <c r="G35" s="25"/>
      <c r="H35" s="28"/>
      <c r="I35" s="22"/>
      <c r="J35" s="30"/>
      <c r="K35" s="30"/>
      <c r="L35" s="28"/>
    </row>
    <row r="36" spans="1:12" x14ac:dyDescent="0.3">
      <c r="A36" s="19"/>
      <c r="B36" s="19"/>
      <c r="C36" s="19"/>
      <c r="D36" s="19"/>
      <c r="E36" s="19"/>
      <c r="F36" s="19"/>
      <c r="G36" s="24" t="s">
        <v>174</v>
      </c>
      <c r="H36" s="27" t="s">
        <v>159</v>
      </c>
      <c r="I36" s="21"/>
      <c r="J36" s="19"/>
      <c r="K36" s="19"/>
      <c r="L36" s="27"/>
    </row>
    <row r="37" spans="1:12" x14ac:dyDescent="0.3">
      <c r="A37" s="19"/>
      <c r="B37" s="19" t="s">
        <v>41</v>
      </c>
      <c r="C37" s="19" t="s">
        <v>330</v>
      </c>
      <c r="D37" s="19">
        <v>3</v>
      </c>
      <c r="E37" s="19"/>
      <c r="F37" s="38">
        <f t="shared" ref="F37:F42" si="4">SUM(D37:E37)</f>
        <v>3</v>
      </c>
      <c r="G37" s="24"/>
      <c r="H37" s="27"/>
      <c r="I37" s="21" t="s">
        <v>92</v>
      </c>
      <c r="J37" s="19" t="s">
        <v>179</v>
      </c>
      <c r="K37" s="19"/>
      <c r="L37" s="27" t="s">
        <v>596</v>
      </c>
    </row>
    <row r="38" spans="1:12" x14ac:dyDescent="0.3">
      <c r="A38" s="19"/>
      <c r="B38" s="19" t="s">
        <v>42</v>
      </c>
      <c r="C38" s="19" t="s">
        <v>329</v>
      </c>
      <c r="D38" s="19">
        <v>3</v>
      </c>
      <c r="E38" s="19"/>
      <c r="F38" s="38">
        <f t="shared" si="4"/>
        <v>3</v>
      </c>
      <c r="G38" s="24"/>
      <c r="H38" s="27"/>
      <c r="I38" s="21" t="s">
        <v>92</v>
      </c>
      <c r="J38" s="19" t="s">
        <v>179</v>
      </c>
      <c r="K38" s="19"/>
      <c r="L38" s="27" t="s">
        <v>598</v>
      </c>
    </row>
    <row r="39" spans="1:12" x14ac:dyDescent="0.3">
      <c r="A39" s="19"/>
      <c r="B39" s="19" t="s">
        <v>60</v>
      </c>
      <c r="C39" s="19" t="s">
        <v>327</v>
      </c>
      <c r="D39" s="19">
        <v>2</v>
      </c>
      <c r="E39" s="19"/>
      <c r="F39" s="38">
        <f t="shared" si="4"/>
        <v>2</v>
      </c>
      <c r="G39" s="24"/>
      <c r="H39" s="27"/>
      <c r="I39" s="21" t="s">
        <v>102</v>
      </c>
      <c r="J39" s="19" t="s">
        <v>179</v>
      </c>
      <c r="K39" s="19"/>
      <c r="L39" s="27"/>
    </row>
    <row r="40" spans="1:12" x14ac:dyDescent="0.3">
      <c r="A40" s="19"/>
      <c r="B40" s="19" t="s">
        <v>519</v>
      </c>
      <c r="C40" s="19" t="s">
        <v>521</v>
      </c>
      <c r="D40" s="19">
        <v>3</v>
      </c>
      <c r="E40" s="19"/>
      <c r="F40" s="38">
        <f t="shared" si="4"/>
        <v>3</v>
      </c>
      <c r="G40" s="24"/>
      <c r="H40" s="27"/>
      <c r="I40" s="21" t="s">
        <v>507</v>
      </c>
      <c r="J40" s="19" t="s">
        <v>179</v>
      </c>
      <c r="K40" s="19"/>
      <c r="L40" s="27"/>
    </row>
    <row r="41" spans="1:12" x14ac:dyDescent="0.3">
      <c r="A41" s="19"/>
      <c r="B41" s="19" t="s">
        <v>520</v>
      </c>
      <c r="C41" s="19" t="s">
        <v>522</v>
      </c>
      <c r="D41" s="19">
        <v>3</v>
      </c>
      <c r="E41" s="19"/>
      <c r="F41" s="38">
        <f t="shared" si="4"/>
        <v>3</v>
      </c>
      <c r="G41" s="24"/>
      <c r="H41" s="27"/>
      <c r="I41" s="21" t="s">
        <v>507</v>
      </c>
      <c r="J41" s="19" t="s">
        <v>179</v>
      </c>
      <c r="K41" s="19"/>
      <c r="L41" s="27"/>
    </row>
    <row r="42" spans="1:12" x14ac:dyDescent="0.3">
      <c r="A42" s="19"/>
      <c r="B42" s="19" t="s">
        <v>483</v>
      </c>
      <c r="C42" s="19" t="s">
        <v>484</v>
      </c>
      <c r="D42" s="19">
        <v>3</v>
      </c>
      <c r="E42" s="19"/>
      <c r="F42" s="38">
        <f t="shared" si="4"/>
        <v>3</v>
      </c>
      <c r="G42" s="24"/>
      <c r="H42" s="27"/>
      <c r="I42" s="21" t="s">
        <v>472</v>
      </c>
      <c r="J42" s="19" t="s">
        <v>179</v>
      </c>
      <c r="K42" s="19"/>
      <c r="L42" s="27"/>
    </row>
    <row r="43" spans="1:12" s="17" customFormat="1" x14ac:dyDescent="0.3">
      <c r="A43" s="57" t="s">
        <v>73</v>
      </c>
      <c r="B43" s="57"/>
      <c r="C43" s="57"/>
      <c r="D43" s="30">
        <f>SUM(D37:D42)</f>
        <v>17</v>
      </c>
      <c r="E43" s="30"/>
      <c r="F43" s="30"/>
      <c r="G43" s="25"/>
      <c r="H43" s="28"/>
      <c r="I43" s="22"/>
      <c r="J43" s="30"/>
      <c r="K43" s="30"/>
      <c r="L43" s="28"/>
    </row>
    <row r="44" spans="1:12" x14ac:dyDescent="0.3">
      <c r="A44" s="19"/>
      <c r="B44" s="19"/>
      <c r="C44" s="19"/>
      <c r="D44" s="19"/>
      <c r="E44" s="19"/>
      <c r="F44" s="19"/>
      <c r="G44" s="24"/>
      <c r="H44" s="27" t="s">
        <v>215</v>
      </c>
      <c r="I44" s="21"/>
      <c r="J44" s="19"/>
      <c r="K44" s="19"/>
      <c r="L44" s="27"/>
    </row>
    <row r="45" spans="1:12" x14ac:dyDescent="0.3">
      <c r="A45" s="19"/>
      <c r="B45" s="19" t="s">
        <v>485</v>
      </c>
      <c r="C45" s="19" t="s">
        <v>548</v>
      </c>
      <c r="D45" s="19">
        <v>3</v>
      </c>
      <c r="E45" s="19"/>
      <c r="F45" s="38">
        <f t="shared" ref="F45:F50" si="5">SUM(D45:E45)</f>
        <v>3</v>
      </c>
      <c r="G45" s="24"/>
      <c r="H45" s="27"/>
      <c r="I45" s="21" t="s">
        <v>92</v>
      </c>
      <c r="J45" s="19" t="s">
        <v>179</v>
      </c>
      <c r="K45" s="19"/>
      <c r="L45" s="27" t="s">
        <v>600</v>
      </c>
    </row>
    <row r="46" spans="1:12" x14ac:dyDescent="0.3">
      <c r="A46" s="19"/>
      <c r="B46" s="19" t="s">
        <v>523</v>
      </c>
      <c r="C46" s="19" t="s">
        <v>551</v>
      </c>
      <c r="D46" s="19">
        <v>3</v>
      </c>
      <c r="E46" s="19"/>
      <c r="F46" s="38">
        <f t="shared" si="5"/>
        <v>3</v>
      </c>
      <c r="G46" s="24"/>
      <c r="H46" s="27"/>
      <c r="I46" s="21" t="s">
        <v>92</v>
      </c>
      <c r="J46" s="19" t="s">
        <v>179</v>
      </c>
      <c r="K46" s="19"/>
      <c r="L46" s="27" t="s">
        <v>600</v>
      </c>
    </row>
    <row r="47" spans="1:12" x14ac:dyDescent="0.3">
      <c r="A47" s="19"/>
      <c r="B47" s="19" t="s">
        <v>49</v>
      </c>
      <c r="C47" s="19" t="s">
        <v>338</v>
      </c>
      <c r="D47" s="19">
        <v>3</v>
      </c>
      <c r="E47" s="19"/>
      <c r="F47" s="38">
        <f t="shared" si="5"/>
        <v>3</v>
      </c>
      <c r="G47" s="24"/>
      <c r="H47" s="27"/>
      <c r="I47" s="21" t="s">
        <v>92</v>
      </c>
      <c r="J47" s="19" t="s">
        <v>179</v>
      </c>
      <c r="K47" s="19"/>
      <c r="L47" s="27" t="s">
        <v>597</v>
      </c>
    </row>
    <row r="48" spans="1:12" x14ac:dyDescent="0.3">
      <c r="A48" s="19"/>
      <c r="B48" s="19" t="s">
        <v>525</v>
      </c>
      <c r="C48" s="19" t="s">
        <v>526</v>
      </c>
      <c r="D48" s="19">
        <v>3</v>
      </c>
      <c r="E48" s="19"/>
      <c r="F48" s="38">
        <f t="shared" si="5"/>
        <v>3</v>
      </c>
      <c r="G48" s="24"/>
      <c r="H48" s="27"/>
      <c r="I48" s="21" t="s">
        <v>507</v>
      </c>
      <c r="J48" s="19" t="s">
        <v>179</v>
      </c>
      <c r="K48" s="19"/>
      <c r="L48" s="27"/>
    </row>
    <row r="49" spans="1:12" x14ac:dyDescent="0.3">
      <c r="A49" s="19"/>
      <c r="B49" s="19" t="s">
        <v>487</v>
      </c>
      <c r="C49" s="19" t="s">
        <v>489</v>
      </c>
      <c r="D49" s="19">
        <v>2</v>
      </c>
      <c r="E49" s="19">
        <v>1</v>
      </c>
      <c r="F49" s="38">
        <f t="shared" si="5"/>
        <v>3</v>
      </c>
      <c r="G49" s="24"/>
      <c r="H49" s="27"/>
      <c r="I49" s="21" t="s">
        <v>472</v>
      </c>
      <c r="J49" s="19" t="s">
        <v>179</v>
      </c>
      <c r="K49" s="19"/>
      <c r="L49" s="27"/>
    </row>
    <row r="50" spans="1:12" x14ac:dyDescent="0.3">
      <c r="A50" s="19"/>
      <c r="B50" s="19" t="s">
        <v>488</v>
      </c>
      <c r="C50" s="19" t="s">
        <v>490</v>
      </c>
      <c r="D50" s="19">
        <v>3</v>
      </c>
      <c r="E50" s="19"/>
      <c r="F50" s="38">
        <f t="shared" si="5"/>
        <v>3</v>
      </c>
      <c r="G50" s="24"/>
      <c r="H50" s="27"/>
      <c r="I50" s="21" t="s">
        <v>472</v>
      </c>
      <c r="J50" s="19" t="s">
        <v>179</v>
      </c>
      <c r="K50" s="19"/>
      <c r="L50" s="27"/>
    </row>
    <row r="51" spans="1:12" s="17" customFormat="1" x14ac:dyDescent="0.3">
      <c r="A51" s="57" t="s">
        <v>73</v>
      </c>
      <c r="B51" s="57"/>
      <c r="C51" s="57"/>
      <c r="D51" s="30">
        <f>SUM(D45:D50)</f>
        <v>17</v>
      </c>
      <c r="E51" s="30">
        <v>1</v>
      </c>
      <c r="F51" s="30">
        <f>SUM(D51:E51)</f>
        <v>18</v>
      </c>
      <c r="G51" s="25"/>
      <c r="H51" s="28"/>
      <c r="I51" s="22"/>
      <c r="J51" s="30"/>
      <c r="K51" s="30"/>
      <c r="L51" s="28"/>
    </row>
    <row r="52" spans="1:12" x14ac:dyDescent="0.3">
      <c r="A52" s="19"/>
      <c r="B52" s="19"/>
      <c r="C52" s="19"/>
      <c r="D52" s="19"/>
      <c r="E52" s="19"/>
      <c r="F52" s="19"/>
      <c r="G52" s="24"/>
      <c r="H52" s="27" t="s">
        <v>85</v>
      </c>
      <c r="I52" s="21"/>
      <c r="J52" s="19"/>
      <c r="K52" s="19"/>
      <c r="L52" s="27"/>
    </row>
    <row r="53" spans="1:12" x14ac:dyDescent="0.3">
      <c r="A53" s="19"/>
      <c r="B53" s="19" t="s">
        <v>53</v>
      </c>
      <c r="C53" s="19" t="s">
        <v>126</v>
      </c>
      <c r="D53" s="19">
        <v>6</v>
      </c>
      <c r="E53" s="19"/>
      <c r="F53" s="38">
        <f t="shared" ref="F53" si="6">SUM(D53:E53)</f>
        <v>6</v>
      </c>
      <c r="G53" s="24"/>
      <c r="H53" s="27"/>
      <c r="I53" s="21" t="s">
        <v>92</v>
      </c>
      <c r="J53" s="19" t="s">
        <v>179</v>
      </c>
      <c r="K53" s="19"/>
      <c r="L53" s="27" t="s">
        <v>599</v>
      </c>
    </row>
    <row r="54" spans="1:12" s="17" customFormat="1" x14ac:dyDescent="0.3">
      <c r="A54" s="57" t="s">
        <v>73</v>
      </c>
      <c r="B54" s="57"/>
      <c r="C54" s="57"/>
      <c r="D54" s="30">
        <f>SUM(D53)</f>
        <v>6</v>
      </c>
      <c r="E54" s="30"/>
      <c r="F54" s="30"/>
      <c r="G54" s="25"/>
      <c r="H54" s="28"/>
      <c r="I54" s="22"/>
      <c r="J54" s="30"/>
      <c r="K54" s="30"/>
      <c r="L54" s="28"/>
    </row>
    <row r="55" spans="1:12" x14ac:dyDescent="0.3">
      <c r="A55" s="19"/>
      <c r="B55" s="19"/>
      <c r="C55" s="19"/>
      <c r="D55" s="19"/>
      <c r="E55" s="19"/>
      <c r="F55" s="19"/>
      <c r="G55" s="24" t="s">
        <v>158</v>
      </c>
      <c r="H55" s="27" t="s">
        <v>159</v>
      </c>
      <c r="I55" s="21"/>
      <c r="J55" s="19"/>
      <c r="K55" s="19"/>
      <c r="L55" s="27"/>
    </row>
    <row r="56" spans="1:12" x14ac:dyDescent="0.3">
      <c r="A56" s="19"/>
      <c r="B56" s="19" t="s">
        <v>54</v>
      </c>
      <c r="C56" s="19" t="s">
        <v>80</v>
      </c>
      <c r="D56" s="19">
        <v>3</v>
      </c>
      <c r="E56" s="19"/>
      <c r="F56" s="38">
        <f t="shared" ref="F56:F61" si="7">SUM(D56:E56)</f>
        <v>3</v>
      </c>
      <c r="G56" s="24"/>
      <c r="H56" s="27"/>
      <c r="I56" s="21" t="s">
        <v>92</v>
      </c>
      <c r="J56" s="19" t="s">
        <v>179</v>
      </c>
      <c r="K56" s="19"/>
      <c r="L56" s="27" t="s">
        <v>591</v>
      </c>
    </row>
    <row r="57" spans="1:12" x14ac:dyDescent="0.3">
      <c r="A57" s="19"/>
      <c r="B57" s="19" t="s">
        <v>55</v>
      </c>
      <c r="C57" s="19" t="s">
        <v>350</v>
      </c>
      <c r="D57" s="19">
        <v>3</v>
      </c>
      <c r="E57" s="19"/>
      <c r="F57" s="38">
        <f t="shared" si="7"/>
        <v>3</v>
      </c>
      <c r="G57" s="24"/>
      <c r="H57" s="27"/>
      <c r="I57" s="21" t="s">
        <v>92</v>
      </c>
      <c r="J57" s="19" t="s">
        <v>179</v>
      </c>
      <c r="K57" s="19"/>
      <c r="L57" s="27" t="s">
        <v>591</v>
      </c>
    </row>
    <row r="58" spans="1:12" x14ac:dyDescent="0.3">
      <c r="A58" s="19"/>
      <c r="B58" s="19" t="s">
        <v>529</v>
      </c>
      <c r="C58" s="19" t="s">
        <v>530</v>
      </c>
      <c r="D58" s="19">
        <v>3</v>
      </c>
      <c r="E58" s="19"/>
      <c r="F58" s="38">
        <f t="shared" si="7"/>
        <v>3</v>
      </c>
      <c r="G58" s="24"/>
      <c r="H58" s="27"/>
      <c r="I58" s="21" t="s">
        <v>507</v>
      </c>
      <c r="J58" s="19" t="s">
        <v>179</v>
      </c>
      <c r="K58" s="19"/>
      <c r="L58" s="27"/>
    </row>
    <row r="59" spans="1:12" x14ac:dyDescent="0.3">
      <c r="A59" s="19"/>
      <c r="B59" s="19" t="s">
        <v>491</v>
      </c>
      <c r="C59" s="19" t="s">
        <v>493</v>
      </c>
      <c r="D59" s="19">
        <v>3</v>
      </c>
      <c r="E59" s="19"/>
      <c r="F59" s="38">
        <f t="shared" si="7"/>
        <v>3</v>
      </c>
      <c r="G59" s="24"/>
      <c r="H59" s="27"/>
      <c r="I59" s="21" t="s">
        <v>472</v>
      </c>
      <c r="J59" s="19" t="s">
        <v>179</v>
      </c>
      <c r="K59" s="19"/>
      <c r="L59" s="27"/>
    </row>
    <row r="60" spans="1:12" x14ac:dyDescent="0.3">
      <c r="A60" s="19"/>
      <c r="B60" s="19" t="s">
        <v>492</v>
      </c>
      <c r="C60" s="19" t="s">
        <v>494</v>
      </c>
      <c r="D60" s="19">
        <v>3</v>
      </c>
      <c r="E60" s="19"/>
      <c r="F60" s="38">
        <f t="shared" si="7"/>
        <v>3</v>
      </c>
      <c r="G60" s="24"/>
      <c r="H60" s="27"/>
      <c r="I60" s="21" t="s">
        <v>472</v>
      </c>
      <c r="J60" s="19" t="s">
        <v>179</v>
      </c>
      <c r="K60" s="19"/>
      <c r="L60" s="27"/>
    </row>
    <row r="61" spans="1:12" x14ac:dyDescent="0.3">
      <c r="A61" s="19"/>
      <c r="B61" s="19" t="s">
        <v>58</v>
      </c>
      <c r="C61" s="19" t="s">
        <v>76</v>
      </c>
      <c r="D61" s="19">
        <v>2</v>
      </c>
      <c r="E61" s="19"/>
      <c r="F61" s="38">
        <f t="shared" si="7"/>
        <v>2</v>
      </c>
      <c r="G61" s="24"/>
      <c r="H61" s="27"/>
      <c r="I61" s="21" t="s">
        <v>507</v>
      </c>
      <c r="J61" s="19" t="s">
        <v>179</v>
      </c>
      <c r="K61" s="19"/>
      <c r="L61" s="27"/>
    </row>
    <row r="62" spans="1:12" s="17" customFormat="1" x14ac:dyDescent="0.3">
      <c r="A62" s="57" t="s">
        <v>73</v>
      </c>
      <c r="B62" s="57"/>
      <c r="C62" s="57"/>
      <c r="D62" s="30">
        <f>SUM(D56:D61)</f>
        <v>17</v>
      </c>
      <c r="E62" s="30"/>
      <c r="F62" s="30"/>
      <c r="G62" s="25"/>
      <c r="H62" s="28"/>
      <c r="I62" s="22"/>
      <c r="J62" s="30"/>
      <c r="K62" s="30"/>
      <c r="L62" s="28"/>
    </row>
    <row r="63" spans="1:12" x14ac:dyDescent="0.3">
      <c r="A63" s="19"/>
      <c r="B63" s="19"/>
      <c r="C63" s="19"/>
      <c r="D63" s="19"/>
      <c r="E63" s="19"/>
      <c r="F63" s="19"/>
      <c r="G63" s="24"/>
      <c r="H63" s="27" t="s">
        <v>215</v>
      </c>
      <c r="I63" s="21"/>
      <c r="J63" s="19"/>
      <c r="K63" s="19"/>
      <c r="L63" s="27"/>
    </row>
    <row r="64" spans="1:12" x14ac:dyDescent="0.3">
      <c r="A64" s="19"/>
      <c r="B64" s="19" t="s">
        <v>61</v>
      </c>
      <c r="C64" s="19" t="s">
        <v>72</v>
      </c>
      <c r="D64" s="19">
        <v>2</v>
      </c>
      <c r="E64" s="19"/>
      <c r="F64" s="38">
        <f t="shared" ref="F64:F70" si="8">SUM(D64:E64)</f>
        <v>2</v>
      </c>
      <c r="G64" s="24"/>
      <c r="H64" s="27"/>
      <c r="I64" s="21" t="s">
        <v>92</v>
      </c>
      <c r="J64" s="19" t="s">
        <v>179</v>
      </c>
      <c r="K64" s="19"/>
      <c r="L64" s="27"/>
    </row>
    <row r="65" spans="1:12" x14ac:dyDescent="0.3">
      <c r="A65" s="19"/>
      <c r="B65" s="19" t="s">
        <v>62</v>
      </c>
      <c r="C65" s="19" t="s">
        <v>355</v>
      </c>
      <c r="D65" s="19">
        <v>3</v>
      </c>
      <c r="E65" s="19"/>
      <c r="F65" s="38">
        <f t="shared" si="8"/>
        <v>3</v>
      </c>
      <c r="G65" s="24"/>
      <c r="H65" s="27"/>
      <c r="I65" s="21" t="s">
        <v>92</v>
      </c>
      <c r="J65" s="19" t="s">
        <v>179</v>
      </c>
      <c r="K65" s="19"/>
      <c r="L65" s="27"/>
    </row>
    <row r="66" spans="1:12" x14ac:dyDescent="0.3">
      <c r="A66" s="19"/>
      <c r="B66" s="19" t="s">
        <v>531</v>
      </c>
      <c r="C66" s="19" t="s">
        <v>532</v>
      </c>
      <c r="D66" s="19">
        <v>3</v>
      </c>
      <c r="E66" s="19"/>
      <c r="F66" s="38">
        <f t="shared" si="8"/>
        <v>3</v>
      </c>
      <c r="G66" s="24"/>
      <c r="H66" s="27"/>
      <c r="I66" s="21" t="s">
        <v>507</v>
      </c>
      <c r="J66" s="19" t="s">
        <v>179</v>
      </c>
      <c r="K66" s="19"/>
      <c r="L66" s="27"/>
    </row>
    <row r="67" spans="1:12" x14ac:dyDescent="0.3">
      <c r="A67" s="19"/>
      <c r="B67" s="19" t="s">
        <v>499</v>
      </c>
      <c r="C67" s="19" t="s">
        <v>500</v>
      </c>
      <c r="D67" s="19">
        <v>3</v>
      </c>
      <c r="E67" s="19"/>
      <c r="F67" s="38">
        <f t="shared" si="8"/>
        <v>3</v>
      </c>
      <c r="G67" s="24"/>
      <c r="H67" s="27"/>
      <c r="I67" s="21" t="s">
        <v>472</v>
      </c>
      <c r="J67" s="19"/>
      <c r="K67" s="19"/>
      <c r="L67" s="27"/>
    </row>
    <row r="68" spans="1:12" x14ac:dyDescent="0.3">
      <c r="A68" s="19"/>
      <c r="B68" s="19" t="s">
        <v>549</v>
      </c>
      <c r="C68" s="19" t="s">
        <v>501</v>
      </c>
      <c r="D68" s="19">
        <v>3</v>
      </c>
      <c r="E68" s="19"/>
      <c r="F68" s="38">
        <f t="shared" si="8"/>
        <v>3</v>
      </c>
      <c r="G68" s="24"/>
      <c r="H68" s="27"/>
      <c r="I68" s="21" t="s">
        <v>472</v>
      </c>
      <c r="J68" s="19"/>
      <c r="K68" s="19"/>
      <c r="L68" s="27"/>
    </row>
    <row r="69" spans="1:12" x14ac:dyDescent="0.3">
      <c r="A69" s="19"/>
      <c r="B69" s="19" t="s">
        <v>527</v>
      </c>
      <c r="C69" s="19" t="s">
        <v>528</v>
      </c>
      <c r="D69" s="19">
        <v>3</v>
      </c>
      <c r="E69" s="19"/>
      <c r="F69" s="38">
        <f t="shared" si="8"/>
        <v>3</v>
      </c>
      <c r="G69" s="24"/>
      <c r="H69" s="27"/>
      <c r="I69" s="21" t="s">
        <v>507</v>
      </c>
      <c r="J69" s="19" t="s">
        <v>179</v>
      </c>
      <c r="K69" s="19"/>
      <c r="L69" s="27"/>
    </row>
    <row r="70" spans="1:12" x14ac:dyDescent="0.3">
      <c r="A70" s="19"/>
      <c r="B70" s="19" t="s">
        <v>24</v>
      </c>
      <c r="C70" s="19" t="s">
        <v>170</v>
      </c>
      <c r="D70" s="19">
        <v>1</v>
      </c>
      <c r="E70" s="19"/>
      <c r="F70" s="38">
        <f t="shared" si="8"/>
        <v>1</v>
      </c>
      <c r="G70" s="24"/>
      <c r="H70" s="27"/>
      <c r="I70" s="21" t="s">
        <v>102</v>
      </c>
      <c r="J70" s="19" t="s">
        <v>179</v>
      </c>
      <c r="K70" s="19"/>
      <c r="L70" s="27"/>
    </row>
    <row r="71" spans="1:12" s="17" customFormat="1" x14ac:dyDescent="0.3">
      <c r="A71" s="57" t="s">
        <v>73</v>
      </c>
      <c r="B71" s="57"/>
      <c r="C71" s="57"/>
      <c r="D71" s="30">
        <f>SUM(D64:D70)</f>
        <v>18</v>
      </c>
      <c r="E71" s="30"/>
      <c r="F71" s="30"/>
      <c r="G71" s="25"/>
      <c r="H71" s="28"/>
      <c r="I71" s="22"/>
      <c r="J71" s="30"/>
      <c r="K71" s="30"/>
      <c r="L71" s="28"/>
    </row>
    <row r="73" spans="1:12" x14ac:dyDescent="0.3">
      <c r="B73" s="38" t="s">
        <v>603</v>
      </c>
    </row>
    <row r="74" spans="1:12" x14ac:dyDescent="0.3">
      <c r="A74" s="38" t="s">
        <v>608</v>
      </c>
      <c r="B74" s="38">
        <f>SUMIF(I2:I70,I70,F2:F70)</f>
        <v>9</v>
      </c>
    </row>
    <row r="75" spans="1:12" x14ac:dyDescent="0.3">
      <c r="A75" s="38" t="s">
        <v>626</v>
      </c>
      <c r="B75" s="38">
        <f ca="1">SUMIF(I2:I72,I66,F2:F70)</f>
        <v>44</v>
      </c>
    </row>
    <row r="76" spans="1:12" x14ac:dyDescent="0.3">
      <c r="A76" s="38" t="s">
        <v>621</v>
      </c>
      <c r="B76" s="38">
        <f ca="1">SUMIF(I2:I73,I66,F2:F71)</f>
        <v>44</v>
      </c>
    </row>
    <row r="77" spans="1:12" x14ac:dyDescent="0.3">
      <c r="A77" s="38" t="s">
        <v>92</v>
      </c>
      <c r="B77" s="38">
        <f>SUMIF(I2:I71,I64,F2:F72)</f>
        <v>53</v>
      </c>
    </row>
    <row r="78" spans="1:12" x14ac:dyDescent="0.3">
      <c r="A78" s="38" t="s">
        <v>610</v>
      </c>
      <c r="B78" s="38">
        <f ca="1">SUM(B74:B77)</f>
        <v>150</v>
      </c>
    </row>
    <row r="79" spans="1:12" x14ac:dyDescent="0.3">
      <c r="A79" s="38"/>
      <c r="B79" s="38"/>
    </row>
    <row r="80" spans="1:12" x14ac:dyDescent="0.3">
      <c r="A80" s="38"/>
      <c r="B80" s="38"/>
    </row>
    <row r="81" spans="1:2" x14ac:dyDescent="0.3">
      <c r="A81" s="38" t="s">
        <v>604</v>
      </c>
      <c r="B81" s="38"/>
    </row>
    <row r="82" spans="1:2" x14ac:dyDescent="0.3">
      <c r="A82" s="38" t="s">
        <v>605</v>
      </c>
      <c r="B82" s="38" t="s">
        <v>606</v>
      </c>
    </row>
    <row r="83" spans="1:2" x14ac:dyDescent="0.3">
      <c r="A83" s="38" t="s">
        <v>607</v>
      </c>
      <c r="B83" s="38" t="s">
        <v>606</v>
      </c>
    </row>
  </sheetData>
  <mergeCells count="11">
    <mergeCell ref="D1:F1"/>
    <mergeCell ref="A51:C51"/>
    <mergeCell ref="A54:C54"/>
    <mergeCell ref="A62:C62"/>
    <mergeCell ref="A71:C71"/>
    <mergeCell ref="D2:F2"/>
    <mergeCell ref="A10:C10"/>
    <mergeCell ref="A19:C19"/>
    <mergeCell ref="A27:C27"/>
    <mergeCell ref="A35:C35"/>
    <mergeCell ref="A43:C4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"/>
  <sheetViews>
    <sheetView topLeftCell="A64" zoomScaleNormal="100" workbookViewId="0">
      <selection activeCell="I93" sqref="I93"/>
    </sheetView>
  </sheetViews>
  <sheetFormatPr defaultRowHeight="14.4" x14ac:dyDescent="0.3"/>
  <cols>
    <col min="2" max="2" width="12.109375" bestFit="1" customWidth="1"/>
    <col min="3" max="3" width="51.5546875" bestFit="1" customWidth="1"/>
    <col min="4" max="5" width="10" customWidth="1"/>
    <col min="6" max="6" width="12.44140625" customWidth="1"/>
    <col min="7" max="7" width="10.33203125" style="1" bestFit="1" customWidth="1"/>
    <col min="8" max="8" width="14.88671875" style="2" bestFit="1" customWidth="1"/>
    <col min="9" max="9" width="30.44140625" style="3" bestFit="1" customWidth="1"/>
    <col min="10" max="10" width="39.109375" bestFit="1" customWidth="1"/>
    <col min="11" max="11" width="5.6640625" bestFit="1" customWidth="1"/>
    <col min="12" max="12" width="158.88671875" style="2" bestFit="1" customWidth="1"/>
  </cols>
  <sheetData>
    <row r="1" spans="1:12" x14ac:dyDescent="0.3">
      <c r="A1" s="11" t="s">
        <v>0</v>
      </c>
      <c r="B1" s="11" t="s">
        <v>1</v>
      </c>
      <c r="C1" s="11" t="s">
        <v>2</v>
      </c>
      <c r="D1" s="59" t="s">
        <v>3</v>
      </c>
      <c r="E1" s="59"/>
      <c r="F1" s="59"/>
      <c r="G1" s="12" t="s">
        <v>4</v>
      </c>
      <c r="H1" s="13" t="s">
        <v>5</v>
      </c>
      <c r="I1" s="14" t="s">
        <v>6</v>
      </c>
      <c r="J1" s="11" t="s">
        <v>7</v>
      </c>
      <c r="K1" s="11" t="s">
        <v>8</v>
      </c>
      <c r="L1" s="13" t="s">
        <v>9</v>
      </c>
    </row>
    <row r="2" spans="1:12" x14ac:dyDescent="0.3">
      <c r="A2" s="11" t="s">
        <v>552</v>
      </c>
      <c r="B2" s="11" t="s">
        <v>10</v>
      </c>
      <c r="C2" s="11" t="s">
        <v>11</v>
      </c>
      <c r="D2" s="59" t="s">
        <v>12</v>
      </c>
      <c r="E2" s="59"/>
      <c r="F2" s="59"/>
      <c r="G2" s="12" t="s">
        <v>13</v>
      </c>
      <c r="H2" s="13" t="s">
        <v>14</v>
      </c>
      <c r="I2" s="14"/>
      <c r="J2" s="11"/>
      <c r="K2" s="11"/>
      <c r="L2" s="13"/>
    </row>
    <row r="3" spans="1:12" x14ac:dyDescent="0.3">
      <c r="A3" s="11"/>
      <c r="B3" s="11"/>
      <c r="C3" s="11"/>
      <c r="D3" s="11" t="s">
        <v>282</v>
      </c>
      <c r="E3" s="11" t="s">
        <v>283</v>
      </c>
      <c r="F3" s="11" t="s">
        <v>284</v>
      </c>
      <c r="G3" s="12"/>
      <c r="H3" s="13"/>
      <c r="I3" s="14"/>
      <c r="J3" s="11"/>
      <c r="K3" s="11"/>
      <c r="L3" s="13"/>
    </row>
    <row r="4" spans="1:12" x14ac:dyDescent="0.3">
      <c r="A4" s="19"/>
      <c r="B4" s="19" t="s">
        <v>16</v>
      </c>
      <c r="C4" s="19" t="s">
        <v>87</v>
      </c>
      <c r="D4" s="19">
        <v>3</v>
      </c>
      <c r="E4" s="19"/>
      <c r="F4" s="19">
        <f>SUM(D4:E4)</f>
        <v>3</v>
      </c>
      <c r="G4" s="24"/>
      <c r="H4" s="27"/>
      <c r="I4" s="21" t="s">
        <v>92</v>
      </c>
      <c r="J4" s="19" t="s">
        <v>179</v>
      </c>
      <c r="K4" s="19"/>
      <c r="L4" s="27"/>
    </row>
    <row r="5" spans="1:12" x14ac:dyDescent="0.3">
      <c r="A5" s="19"/>
      <c r="B5" s="19" t="s">
        <v>17</v>
      </c>
      <c r="C5" s="19" t="s">
        <v>88</v>
      </c>
      <c r="D5" s="19">
        <v>3</v>
      </c>
      <c r="E5" s="19"/>
      <c r="F5" s="38">
        <f t="shared" ref="F5:F9" si="0">SUM(D5:E5)</f>
        <v>3</v>
      </c>
      <c r="G5" s="24"/>
      <c r="H5" s="27"/>
      <c r="I5" s="21" t="s">
        <v>102</v>
      </c>
      <c r="J5" s="19" t="s">
        <v>179</v>
      </c>
      <c r="K5" s="19"/>
      <c r="L5" s="27"/>
    </row>
    <row r="6" spans="1:12" x14ac:dyDescent="0.3">
      <c r="A6" s="19"/>
      <c r="B6" s="19" t="s">
        <v>18</v>
      </c>
      <c r="C6" s="19" t="s">
        <v>89</v>
      </c>
      <c r="D6" s="19">
        <v>3</v>
      </c>
      <c r="E6" s="19"/>
      <c r="F6" s="38">
        <f t="shared" si="0"/>
        <v>3</v>
      </c>
      <c r="G6" s="24"/>
      <c r="H6" s="27"/>
      <c r="I6" s="21" t="s">
        <v>93</v>
      </c>
      <c r="J6" s="19" t="s">
        <v>179</v>
      </c>
      <c r="K6" s="19"/>
      <c r="L6" s="27"/>
    </row>
    <row r="7" spans="1:12" x14ac:dyDescent="0.3">
      <c r="A7" s="19"/>
      <c r="B7" s="19" t="s">
        <v>19</v>
      </c>
      <c r="C7" s="19" t="s">
        <v>107</v>
      </c>
      <c r="D7" s="19">
        <v>3</v>
      </c>
      <c r="E7" s="19"/>
      <c r="F7" s="38">
        <f t="shared" si="0"/>
        <v>3</v>
      </c>
      <c r="G7" s="24"/>
      <c r="H7" s="27"/>
      <c r="I7" s="21" t="s">
        <v>93</v>
      </c>
      <c r="J7" s="19" t="s">
        <v>179</v>
      </c>
      <c r="K7" s="19"/>
      <c r="L7" s="27"/>
    </row>
    <row r="8" spans="1:12" x14ac:dyDescent="0.3">
      <c r="A8" s="19"/>
      <c r="B8" s="19" t="s">
        <v>361</v>
      </c>
      <c r="C8" s="19" t="s">
        <v>363</v>
      </c>
      <c r="D8" s="19">
        <v>2</v>
      </c>
      <c r="E8" s="19">
        <v>1</v>
      </c>
      <c r="F8" s="38">
        <f t="shared" si="0"/>
        <v>3</v>
      </c>
      <c r="G8" s="24"/>
      <c r="H8" s="27"/>
      <c r="I8" s="21" t="s">
        <v>365</v>
      </c>
      <c r="J8" s="19" t="s">
        <v>179</v>
      </c>
      <c r="K8" s="19"/>
      <c r="L8" s="27"/>
    </row>
    <row r="9" spans="1:12" x14ac:dyDescent="0.3">
      <c r="A9" s="19"/>
      <c r="B9" s="19" t="s">
        <v>360</v>
      </c>
      <c r="C9" s="19" t="s">
        <v>364</v>
      </c>
      <c r="D9" s="19">
        <v>2</v>
      </c>
      <c r="E9" s="19">
        <v>1</v>
      </c>
      <c r="F9" s="38">
        <f t="shared" si="0"/>
        <v>3</v>
      </c>
      <c r="G9" s="24"/>
      <c r="H9" s="27"/>
      <c r="I9" s="21" t="s">
        <v>365</v>
      </c>
      <c r="J9" s="19" t="s">
        <v>179</v>
      </c>
      <c r="K9" s="19"/>
      <c r="L9" s="27"/>
    </row>
    <row r="10" spans="1:12" s="17" customFormat="1" x14ac:dyDescent="0.3">
      <c r="A10" s="57" t="s">
        <v>73</v>
      </c>
      <c r="B10" s="57"/>
      <c r="C10" s="57"/>
      <c r="D10" s="30">
        <f>SUM(D4:D9)</f>
        <v>16</v>
      </c>
      <c r="E10" s="30">
        <v>2</v>
      </c>
      <c r="F10" s="30">
        <f>SUM(D10:E10)</f>
        <v>18</v>
      </c>
      <c r="G10" s="25"/>
      <c r="H10" s="28"/>
      <c r="I10" s="22"/>
      <c r="J10" s="30"/>
      <c r="K10" s="30"/>
      <c r="L10" s="28"/>
    </row>
    <row r="11" spans="1:12" x14ac:dyDescent="0.3">
      <c r="A11" s="19"/>
      <c r="B11" s="19"/>
      <c r="C11" s="19"/>
      <c r="D11" s="19"/>
      <c r="E11" s="19"/>
      <c r="F11" s="19"/>
      <c r="G11" s="24"/>
      <c r="H11" s="27" t="s">
        <v>81</v>
      </c>
      <c r="I11" s="21"/>
      <c r="J11" s="19"/>
      <c r="K11" s="19"/>
      <c r="L11" s="27"/>
    </row>
    <row r="12" spans="1:12" x14ac:dyDescent="0.3">
      <c r="A12" s="19"/>
      <c r="B12" s="19" t="s">
        <v>22</v>
      </c>
      <c r="C12" s="19" t="s">
        <v>95</v>
      </c>
      <c r="D12" s="19">
        <v>2</v>
      </c>
      <c r="E12" s="19"/>
      <c r="F12" s="38">
        <f t="shared" ref="F12:F18" si="1">SUM(D12:E12)</f>
        <v>2</v>
      </c>
      <c r="G12" s="24"/>
      <c r="H12" s="27"/>
      <c r="I12" s="21" t="s">
        <v>92</v>
      </c>
      <c r="J12" s="19" t="s">
        <v>179</v>
      </c>
      <c r="K12" s="19"/>
      <c r="L12" s="27"/>
    </row>
    <row r="13" spans="1:12" x14ac:dyDescent="0.3">
      <c r="A13" s="19"/>
      <c r="B13" s="19" t="s">
        <v>23</v>
      </c>
      <c r="C13" s="19" t="s">
        <v>96</v>
      </c>
      <c r="D13" s="19">
        <v>2</v>
      </c>
      <c r="E13" s="19"/>
      <c r="F13" s="38">
        <f t="shared" si="1"/>
        <v>2</v>
      </c>
      <c r="G13" s="24"/>
      <c r="H13" s="27"/>
      <c r="I13" s="21" t="s">
        <v>92</v>
      </c>
      <c r="J13" s="19" t="s">
        <v>179</v>
      </c>
      <c r="K13" s="19"/>
      <c r="L13" s="27" t="s">
        <v>592</v>
      </c>
    </row>
    <row r="14" spans="1:12" x14ac:dyDescent="0.3">
      <c r="A14" s="19"/>
      <c r="B14" s="19" t="s">
        <v>29</v>
      </c>
      <c r="C14" s="19" t="s">
        <v>101</v>
      </c>
      <c r="D14" s="19">
        <v>2</v>
      </c>
      <c r="E14" s="19"/>
      <c r="F14" s="38">
        <f t="shared" si="1"/>
        <v>2</v>
      </c>
      <c r="G14" s="24"/>
      <c r="H14" s="27"/>
      <c r="I14" s="21" t="s">
        <v>92</v>
      </c>
      <c r="J14" s="19" t="s">
        <v>179</v>
      </c>
      <c r="K14" s="19"/>
      <c r="L14" s="27"/>
    </row>
    <row r="15" spans="1:12" x14ac:dyDescent="0.3">
      <c r="A15" s="19"/>
      <c r="B15" s="19" t="s">
        <v>26</v>
      </c>
      <c r="C15" s="19" t="s">
        <v>106</v>
      </c>
      <c r="D15" s="19">
        <v>3</v>
      </c>
      <c r="E15" s="19"/>
      <c r="F15" s="38">
        <f t="shared" si="1"/>
        <v>3</v>
      </c>
      <c r="G15" s="24"/>
      <c r="H15" s="27"/>
      <c r="I15" s="21" t="s">
        <v>93</v>
      </c>
      <c r="J15" s="19" t="s">
        <v>179</v>
      </c>
      <c r="K15" s="19"/>
      <c r="L15" s="27"/>
    </row>
    <row r="16" spans="1:12" x14ac:dyDescent="0.3">
      <c r="A16" s="19"/>
      <c r="B16" s="19" t="s">
        <v>27</v>
      </c>
      <c r="C16" s="19" t="s">
        <v>99</v>
      </c>
      <c r="D16" s="19">
        <v>3</v>
      </c>
      <c r="E16" s="19"/>
      <c r="F16" s="38">
        <f t="shared" si="1"/>
        <v>3</v>
      </c>
      <c r="G16" s="24"/>
      <c r="H16" s="27"/>
      <c r="I16" s="21" t="s">
        <v>93</v>
      </c>
      <c r="J16" s="19" t="s">
        <v>179</v>
      </c>
      <c r="K16" s="19"/>
      <c r="L16" s="27"/>
    </row>
    <row r="17" spans="1:12" x14ac:dyDescent="0.3">
      <c r="A17" s="19"/>
      <c r="B17" s="19" t="s">
        <v>366</v>
      </c>
      <c r="C17" s="19" t="s">
        <v>368</v>
      </c>
      <c r="D17" s="19">
        <v>2</v>
      </c>
      <c r="E17" s="19">
        <v>1</v>
      </c>
      <c r="F17" s="38">
        <f t="shared" si="1"/>
        <v>3</v>
      </c>
      <c r="G17" s="24"/>
      <c r="H17" s="27"/>
      <c r="I17" s="21" t="s">
        <v>365</v>
      </c>
      <c r="J17" s="19" t="s">
        <v>179</v>
      </c>
      <c r="K17" s="19"/>
      <c r="L17" s="27"/>
    </row>
    <row r="18" spans="1:12" x14ac:dyDescent="0.3">
      <c r="A18" s="19"/>
      <c r="B18" s="19" t="s">
        <v>367</v>
      </c>
      <c r="C18" s="19" t="s">
        <v>369</v>
      </c>
      <c r="D18" s="19">
        <v>2</v>
      </c>
      <c r="E18" s="19">
        <v>1</v>
      </c>
      <c r="F18" s="38">
        <f t="shared" si="1"/>
        <v>3</v>
      </c>
      <c r="G18" s="24"/>
      <c r="H18" s="27"/>
      <c r="I18" s="21" t="s">
        <v>365</v>
      </c>
      <c r="J18" s="19" t="s">
        <v>179</v>
      </c>
      <c r="K18" s="19"/>
      <c r="L18" s="27"/>
    </row>
    <row r="19" spans="1:12" s="17" customFormat="1" x14ac:dyDescent="0.3">
      <c r="A19" s="57" t="s">
        <v>73</v>
      </c>
      <c r="B19" s="57"/>
      <c r="C19" s="57"/>
      <c r="D19" s="30">
        <f>SUM(D12:D18)</f>
        <v>16</v>
      </c>
      <c r="E19" s="30">
        <v>2</v>
      </c>
      <c r="F19" s="30">
        <f>SUM(D19:E19)</f>
        <v>18</v>
      </c>
      <c r="G19" s="25"/>
      <c r="H19" s="28"/>
      <c r="I19" s="22"/>
      <c r="J19" s="30"/>
      <c r="K19" s="30"/>
      <c r="L19" s="28"/>
    </row>
    <row r="20" spans="1:12" x14ac:dyDescent="0.3">
      <c r="A20" s="19"/>
      <c r="B20" s="19"/>
      <c r="C20" s="19"/>
      <c r="D20" s="19"/>
      <c r="E20" s="19"/>
      <c r="F20" s="19"/>
      <c r="G20" s="24" t="s">
        <v>136</v>
      </c>
      <c r="H20" s="27" t="s">
        <v>14</v>
      </c>
      <c r="I20" s="21"/>
      <c r="J20" s="19"/>
      <c r="K20" s="19"/>
      <c r="L20" s="27"/>
    </row>
    <row r="21" spans="1:12" x14ac:dyDescent="0.3">
      <c r="A21" s="19"/>
      <c r="B21" s="19" t="s">
        <v>30</v>
      </c>
      <c r="C21" s="19" t="s">
        <v>103</v>
      </c>
      <c r="D21" s="19">
        <v>3</v>
      </c>
      <c r="E21" s="19"/>
      <c r="F21" s="38">
        <f t="shared" ref="F21:F26" si="2">SUM(D21:E21)</f>
        <v>3</v>
      </c>
      <c r="G21" s="24"/>
      <c r="H21" s="27"/>
      <c r="I21" s="21" t="s">
        <v>92</v>
      </c>
      <c r="J21" s="19" t="s">
        <v>179</v>
      </c>
      <c r="K21" s="19"/>
      <c r="L21" s="27" t="s">
        <v>594</v>
      </c>
    </row>
    <row r="22" spans="1:12" x14ac:dyDescent="0.3">
      <c r="A22" s="19"/>
      <c r="B22" s="19" t="s">
        <v>60</v>
      </c>
      <c r="C22" s="19" t="s">
        <v>74</v>
      </c>
      <c r="D22" s="19">
        <v>2</v>
      </c>
      <c r="E22" s="19"/>
      <c r="F22" s="38">
        <f t="shared" si="2"/>
        <v>2</v>
      </c>
      <c r="G22" s="24"/>
      <c r="H22" s="27"/>
      <c r="I22" s="21" t="s">
        <v>102</v>
      </c>
      <c r="J22" s="19" t="s">
        <v>179</v>
      </c>
      <c r="K22" s="19"/>
      <c r="L22" s="27"/>
    </row>
    <row r="23" spans="1:12" x14ac:dyDescent="0.3">
      <c r="A23" s="19"/>
      <c r="B23" s="19" t="s">
        <v>82</v>
      </c>
      <c r="C23" s="19" t="s">
        <v>107</v>
      </c>
      <c r="D23" s="19">
        <v>3</v>
      </c>
      <c r="E23" s="19"/>
      <c r="F23" s="38">
        <f t="shared" si="2"/>
        <v>3</v>
      </c>
      <c r="G23" s="24"/>
      <c r="H23" s="27"/>
      <c r="I23" s="21" t="s">
        <v>93</v>
      </c>
      <c r="J23" s="19" t="s">
        <v>179</v>
      </c>
      <c r="K23" s="19"/>
      <c r="L23" s="27"/>
    </row>
    <row r="24" spans="1:12" x14ac:dyDescent="0.3">
      <c r="A24" s="19"/>
      <c r="B24" s="19" t="s">
        <v>32</v>
      </c>
      <c r="C24" s="19" t="s">
        <v>105</v>
      </c>
      <c r="D24" s="19">
        <v>3</v>
      </c>
      <c r="E24" s="19"/>
      <c r="F24" s="38">
        <f t="shared" si="2"/>
        <v>3</v>
      </c>
      <c r="G24" s="24"/>
      <c r="H24" s="27"/>
      <c r="I24" s="21" t="s">
        <v>93</v>
      </c>
      <c r="J24" s="19" t="s">
        <v>179</v>
      </c>
      <c r="K24" s="19"/>
      <c r="L24" s="27"/>
    </row>
    <row r="25" spans="1:12" x14ac:dyDescent="0.3">
      <c r="A25" s="19"/>
      <c r="B25" s="19" t="s">
        <v>370</v>
      </c>
      <c r="C25" s="19" t="s">
        <v>375</v>
      </c>
      <c r="D25" s="19">
        <v>3</v>
      </c>
      <c r="E25" s="19"/>
      <c r="F25" s="38">
        <f t="shared" si="2"/>
        <v>3</v>
      </c>
      <c r="G25" s="24"/>
      <c r="H25" s="27"/>
      <c r="I25" s="21" t="s">
        <v>365</v>
      </c>
      <c r="J25" s="19" t="s">
        <v>179</v>
      </c>
      <c r="K25" s="19"/>
      <c r="L25" s="27"/>
    </row>
    <row r="26" spans="1:12" x14ac:dyDescent="0.3">
      <c r="A26" s="19"/>
      <c r="B26" s="19" t="s">
        <v>371</v>
      </c>
      <c r="C26" s="19" t="s">
        <v>376</v>
      </c>
      <c r="D26" s="19">
        <v>3</v>
      </c>
      <c r="E26" s="19">
        <v>1</v>
      </c>
      <c r="F26" s="38">
        <f t="shared" si="2"/>
        <v>4</v>
      </c>
      <c r="G26" s="24"/>
      <c r="H26" s="27"/>
      <c r="I26" s="21" t="s">
        <v>365</v>
      </c>
      <c r="J26" s="19" t="s">
        <v>179</v>
      </c>
      <c r="K26" s="19"/>
      <c r="L26" s="27"/>
    </row>
    <row r="27" spans="1:12" s="17" customFormat="1" x14ac:dyDescent="0.3">
      <c r="A27" s="57" t="s">
        <v>73</v>
      </c>
      <c r="B27" s="57"/>
      <c r="C27" s="57"/>
      <c r="D27" s="30">
        <f>SUM(D21:D26)</f>
        <v>17</v>
      </c>
      <c r="E27" s="30">
        <v>1</v>
      </c>
      <c r="F27" s="30">
        <f>SUM(D27:E27)</f>
        <v>18</v>
      </c>
      <c r="G27" s="25"/>
      <c r="H27" s="28"/>
      <c r="I27" s="22"/>
      <c r="J27" s="30"/>
      <c r="K27" s="30"/>
      <c r="L27" s="28"/>
    </row>
    <row r="28" spans="1:12" x14ac:dyDescent="0.3">
      <c r="A28" s="19"/>
      <c r="B28" s="19"/>
      <c r="C28" s="19"/>
      <c r="D28" s="19"/>
      <c r="E28" s="19"/>
      <c r="F28" s="19"/>
      <c r="G28" s="24"/>
      <c r="H28" s="27" t="s">
        <v>81</v>
      </c>
      <c r="I28" s="21"/>
      <c r="J28" s="19"/>
      <c r="K28" s="19"/>
      <c r="L28" s="27"/>
    </row>
    <row r="29" spans="1:12" x14ac:dyDescent="0.3">
      <c r="A29" s="19"/>
      <c r="B29" s="19" t="s">
        <v>35</v>
      </c>
      <c r="C29" s="19" t="s">
        <v>110</v>
      </c>
      <c r="D29" s="19">
        <v>3</v>
      </c>
      <c r="E29" s="19"/>
      <c r="F29" s="38">
        <f t="shared" ref="F29:F35" si="3">SUM(D29:E29)</f>
        <v>3</v>
      </c>
      <c r="G29" s="24"/>
      <c r="H29" s="27"/>
      <c r="I29" s="21" t="s">
        <v>92</v>
      </c>
      <c r="J29" s="19" t="s">
        <v>179</v>
      </c>
      <c r="K29" s="19"/>
      <c r="L29" s="27" t="s">
        <v>595</v>
      </c>
    </row>
    <row r="30" spans="1:12" x14ac:dyDescent="0.3">
      <c r="A30" s="19"/>
      <c r="B30" s="19" t="s">
        <v>36</v>
      </c>
      <c r="C30" s="19" t="s">
        <v>111</v>
      </c>
      <c r="D30" s="19">
        <v>3</v>
      </c>
      <c r="E30" s="19"/>
      <c r="F30" s="38">
        <f t="shared" si="3"/>
        <v>3</v>
      </c>
      <c r="G30" s="24"/>
      <c r="H30" s="27"/>
      <c r="I30" s="21" t="s">
        <v>92</v>
      </c>
      <c r="J30" s="19" t="s">
        <v>179</v>
      </c>
      <c r="K30" s="19"/>
      <c r="L30" s="27"/>
    </row>
    <row r="31" spans="1:12" x14ac:dyDescent="0.3">
      <c r="A31" s="19"/>
      <c r="B31" s="19" t="s">
        <v>372</v>
      </c>
      <c r="C31" s="19" t="s">
        <v>377</v>
      </c>
      <c r="D31" s="19">
        <v>2</v>
      </c>
      <c r="E31" s="19">
        <v>1</v>
      </c>
      <c r="F31" s="38">
        <f t="shared" si="3"/>
        <v>3</v>
      </c>
      <c r="G31" s="24"/>
      <c r="H31" s="27"/>
      <c r="I31" s="21" t="s">
        <v>365</v>
      </c>
      <c r="J31" s="19" t="s">
        <v>179</v>
      </c>
      <c r="K31" s="19"/>
      <c r="L31" s="27"/>
    </row>
    <row r="32" spans="1:12" x14ac:dyDescent="0.3">
      <c r="A32" s="19"/>
      <c r="B32" s="19" t="s">
        <v>373</v>
      </c>
      <c r="C32" s="19" t="s">
        <v>378</v>
      </c>
      <c r="D32" s="19">
        <v>3</v>
      </c>
      <c r="E32" s="19"/>
      <c r="F32" s="38">
        <f t="shared" si="3"/>
        <v>3</v>
      </c>
      <c r="G32" s="24"/>
      <c r="H32" s="27"/>
      <c r="I32" s="21" t="s">
        <v>365</v>
      </c>
      <c r="J32" s="19" t="s">
        <v>179</v>
      </c>
      <c r="K32" s="19"/>
      <c r="L32" s="27"/>
    </row>
    <row r="33" spans="1:12" x14ac:dyDescent="0.3">
      <c r="A33" s="19"/>
      <c r="B33" s="19" t="s">
        <v>24</v>
      </c>
      <c r="C33" s="19" t="s">
        <v>170</v>
      </c>
      <c r="D33" s="19">
        <v>1</v>
      </c>
      <c r="E33" s="19"/>
      <c r="F33" s="38">
        <f t="shared" si="3"/>
        <v>1</v>
      </c>
      <c r="G33" s="24"/>
      <c r="H33" s="27"/>
      <c r="I33" s="21" t="s">
        <v>102</v>
      </c>
      <c r="J33" s="19" t="s">
        <v>179</v>
      </c>
      <c r="K33" s="19"/>
      <c r="L33" s="27"/>
    </row>
    <row r="34" spans="1:12" x14ac:dyDescent="0.3">
      <c r="A34" s="19"/>
      <c r="B34" s="19" t="s">
        <v>25</v>
      </c>
      <c r="C34" s="19" t="s">
        <v>98</v>
      </c>
      <c r="D34" s="19">
        <v>2</v>
      </c>
      <c r="E34" s="19"/>
      <c r="F34" s="38">
        <f t="shared" si="3"/>
        <v>2</v>
      </c>
      <c r="G34" s="24"/>
      <c r="H34" s="27"/>
      <c r="I34" s="21" t="s">
        <v>102</v>
      </c>
      <c r="J34" s="19" t="s">
        <v>179</v>
      </c>
      <c r="K34" s="19"/>
      <c r="L34" s="27"/>
    </row>
    <row r="35" spans="1:12" x14ac:dyDescent="0.3">
      <c r="A35" s="19"/>
      <c r="B35" s="19" t="s">
        <v>38</v>
      </c>
      <c r="C35" s="19" t="s">
        <v>114</v>
      </c>
      <c r="D35" s="19">
        <v>3</v>
      </c>
      <c r="E35" s="19"/>
      <c r="F35" s="38">
        <f t="shared" si="3"/>
        <v>3</v>
      </c>
      <c r="G35" s="24"/>
      <c r="H35" s="27"/>
      <c r="I35" s="21" t="s">
        <v>93</v>
      </c>
      <c r="J35" s="19" t="s">
        <v>179</v>
      </c>
      <c r="K35" s="19"/>
      <c r="L35" s="27"/>
    </row>
    <row r="36" spans="1:12" s="17" customFormat="1" x14ac:dyDescent="0.3">
      <c r="A36" s="57" t="s">
        <v>73</v>
      </c>
      <c r="B36" s="57"/>
      <c r="C36" s="57"/>
      <c r="D36" s="30">
        <f>SUM(D29:D35)</f>
        <v>17</v>
      </c>
      <c r="E36" s="30">
        <v>1</v>
      </c>
      <c r="F36" s="30">
        <f>SUM(D36:E36)</f>
        <v>18</v>
      </c>
      <c r="G36" s="25"/>
      <c r="H36" s="28"/>
      <c r="I36" s="22"/>
      <c r="J36" s="30"/>
      <c r="K36" s="30"/>
      <c r="L36" s="28"/>
    </row>
    <row r="37" spans="1:12" x14ac:dyDescent="0.3">
      <c r="A37" s="19"/>
      <c r="B37" s="19"/>
      <c r="C37" s="19"/>
      <c r="D37" s="19"/>
      <c r="E37" s="19"/>
      <c r="F37" s="19"/>
      <c r="G37" s="24" t="s">
        <v>84</v>
      </c>
      <c r="H37" s="27" t="s">
        <v>159</v>
      </c>
      <c r="I37" s="21"/>
      <c r="J37" s="19"/>
      <c r="K37" s="19"/>
      <c r="L37" s="27"/>
    </row>
    <row r="38" spans="1:12" x14ac:dyDescent="0.3">
      <c r="A38" s="19"/>
      <c r="B38" s="19" t="s">
        <v>41</v>
      </c>
      <c r="C38" s="19" t="s">
        <v>116</v>
      </c>
      <c r="D38" s="19">
        <v>3</v>
      </c>
      <c r="E38" s="19"/>
      <c r="F38" s="38">
        <f t="shared" ref="F38:F43" si="4">SUM(D38:E38)</f>
        <v>3</v>
      </c>
      <c r="G38" s="24"/>
      <c r="H38" s="27"/>
      <c r="I38" s="21" t="s">
        <v>92</v>
      </c>
      <c r="J38" s="19" t="s">
        <v>179</v>
      </c>
      <c r="K38" s="19"/>
      <c r="L38" s="27" t="s">
        <v>596</v>
      </c>
    </row>
    <row r="39" spans="1:12" x14ac:dyDescent="0.3">
      <c r="A39" s="19"/>
      <c r="B39" s="19" t="s">
        <v>42</v>
      </c>
      <c r="C39" s="19" t="s">
        <v>117</v>
      </c>
      <c r="D39" s="19">
        <v>3</v>
      </c>
      <c r="E39" s="19"/>
      <c r="F39" s="38">
        <f t="shared" si="4"/>
        <v>3</v>
      </c>
      <c r="G39" s="24"/>
      <c r="H39" s="27"/>
      <c r="I39" s="21" t="s">
        <v>92</v>
      </c>
      <c r="J39" s="19" t="s">
        <v>179</v>
      </c>
      <c r="K39" s="19"/>
      <c r="L39" s="27" t="s">
        <v>598</v>
      </c>
    </row>
    <row r="40" spans="1:12" x14ac:dyDescent="0.3">
      <c r="A40" s="19"/>
      <c r="B40" s="19" t="s">
        <v>43</v>
      </c>
      <c r="C40" s="19" t="s">
        <v>118</v>
      </c>
      <c r="D40" s="19">
        <v>3</v>
      </c>
      <c r="E40" s="19"/>
      <c r="F40" s="38">
        <f t="shared" si="4"/>
        <v>3</v>
      </c>
      <c r="G40" s="24"/>
      <c r="H40" s="27"/>
      <c r="I40" s="21" t="s">
        <v>93</v>
      </c>
      <c r="J40" s="19" t="s">
        <v>179</v>
      </c>
      <c r="K40" s="19"/>
      <c r="L40" s="27"/>
    </row>
    <row r="41" spans="1:12" x14ac:dyDescent="0.3">
      <c r="A41" s="19"/>
      <c r="B41" s="19" t="s">
        <v>44</v>
      </c>
      <c r="C41" s="19" t="s">
        <v>119</v>
      </c>
      <c r="D41" s="19">
        <v>3</v>
      </c>
      <c r="E41" s="19"/>
      <c r="F41" s="38">
        <f t="shared" si="4"/>
        <v>3</v>
      </c>
      <c r="G41" s="24"/>
      <c r="H41" s="27"/>
      <c r="I41" s="21" t="s">
        <v>93</v>
      </c>
      <c r="J41" s="19" t="s">
        <v>179</v>
      </c>
      <c r="K41" s="19"/>
      <c r="L41" s="27"/>
    </row>
    <row r="42" spans="1:12" x14ac:dyDescent="0.3">
      <c r="A42" s="19"/>
      <c r="B42" s="19" t="s">
        <v>31</v>
      </c>
      <c r="C42" s="19" t="s">
        <v>380</v>
      </c>
      <c r="D42" s="19">
        <v>3</v>
      </c>
      <c r="E42" s="19"/>
      <c r="F42" s="38">
        <f t="shared" si="4"/>
        <v>3</v>
      </c>
      <c r="G42" s="24"/>
      <c r="H42" s="27"/>
      <c r="I42" s="21" t="s">
        <v>92</v>
      </c>
      <c r="J42" s="19" t="s">
        <v>179</v>
      </c>
      <c r="K42" s="19"/>
      <c r="L42" s="27"/>
    </row>
    <row r="43" spans="1:12" x14ac:dyDescent="0.3">
      <c r="A43" s="19"/>
      <c r="B43" s="19" t="s">
        <v>379</v>
      </c>
      <c r="C43" s="19" t="s">
        <v>381</v>
      </c>
      <c r="D43" s="19">
        <v>2</v>
      </c>
      <c r="E43" s="19">
        <v>1</v>
      </c>
      <c r="F43" s="38">
        <f t="shared" si="4"/>
        <v>3</v>
      </c>
      <c r="G43" s="24"/>
      <c r="H43" s="27"/>
      <c r="I43" s="21" t="s">
        <v>365</v>
      </c>
      <c r="J43" s="19" t="s">
        <v>179</v>
      </c>
      <c r="K43" s="19"/>
      <c r="L43" s="27"/>
    </row>
    <row r="44" spans="1:12" s="17" customFormat="1" x14ac:dyDescent="0.3">
      <c r="A44" s="57" t="s">
        <v>73</v>
      </c>
      <c r="B44" s="57"/>
      <c r="C44" s="57"/>
      <c r="D44" s="30">
        <f>SUM(D38:D43)</f>
        <v>17</v>
      </c>
      <c r="E44" s="30">
        <v>1</v>
      </c>
      <c r="F44" s="30">
        <f>SUM(D44:E44)</f>
        <v>18</v>
      </c>
      <c r="G44" s="25"/>
      <c r="H44" s="28"/>
      <c r="I44" s="22"/>
      <c r="J44" s="30"/>
      <c r="K44" s="30"/>
      <c r="L44" s="28"/>
    </row>
    <row r="45" spans="1:12" x14ac:dyDescent="0.3">
      <c r="A45" s="19"/>
      <c r="B45" s="19"/>
      <c r="C45" s="19"/>
      <c r="D45" s="19"/>
      <c r="E45" s="19"/>
      <c r="F45" s="19"/>
      <c r="G45" s="24"/>
      <c r="H45" s="27" t="s">
        <v>81</v>
      </c>
      <c r="I45" s="21"/>
      <c r="J45" s="19"/>
      <c r="K45" s="19"/>
      <c r="L45" s="27"/>
    </row>
    <row r="46" spans="1:12" x14ac:dyDescent="0.3">
      <c r="A46" s="19"/>
      <c r="B46" s="19" t="s">
        <v>47</v>
      </c>
      <c r="C46" s="19" t="s">
        <v>122</v>
      </c>
      <c r="D46" s="19">
        <v>3</v>
      </c>
      <c r="E46" s="19"/>
      <c r="F46" s="38">
        <f t="shared" ref="F46:F51" si="5">SUM(D46:E46)</f>
        <v>3</v>
      </c>
      <c r="G46" s="24"/>
      <c r="H46" s="27"/>
      <c r="I46" s="21" t="s">
        <v>92</v>
      </c>
      <c r="J46" s="19" t="s">
        <v>179</v>
      </c>
      <c r="K46" s="19"/>
      <c r="L46" s="27" t="s">
        <v>600</v>
      </c>
    </row>
    <row r="47" spans="1:12" x14ac:dyDescent="0.3">
      <c r="A47" s="19"/>
      <c r="B47" s="19" t="s">
        <v>383</v>
      </c>
      <c r="C47" s="19" t="s">
        <v>386</v>
      </c>
      <c r="D47" s="19">
        <v>3</v>
      </c>
      <c r="E47" s="19"/>
      <c r="F47" s="38">
        <f t="shared" si="5"/>
        <v>3</v>
      </c>
      <c r="G47" s="24"/>
      <c r="H47" s="27"/>
      <c r="I47" s="21" t="s">
        <v>92</v>
      </c>
      <c r="J47" s="19" t="s">
        <v>179</v>
      </c>
      <c r="K47" s="19"/>
      <c r="L47" s="27"/>
    </row>
    <row r="48" spans="1:12" x14ac:dyDescent="0.3">
      <c r="A48" s="19"/>
      <c r="B48" s="19" t="s">
        <v>49</v>
      </c>
      <c r="C48" s="19" t="s">
        <v>124</v>
      </c>
      <c r="D48" s="19">
        <v>3</v>
      </c>
      <c r="E48" s="19"/>
      <c r="F48" s="38">
        <f t="shared" si="5"/>
        <v>3</v>
      </c>
      <c r="G48" s="24"/>
      <c r="H48" s="27"/>
      <c r="I48" s="21" t="s">
        <v>92</v>
      </c>
      <c r="J48" s="19" t="s">
        <v>179</v>
      </c>
      <c r="K48" s="19"/>
      <c r="L48" s="27" t="s">
        <v>597</v>
      </c>
    </row>
    <row r="49" spans="1:12" x14ac:dyDescent="0.3">
      <c r="A49" s="19"/>
      <c r="B49" s="19" t="s">
        <v>384</v>
      </c>
      <c r="C49" s="19" t="s">
        <v>387</v>
      </c>
      <c r="D49" s="19">
        <v>2</v>
      </c>
      <c r="E49" s="19">
        <v>1</v>
      </c>
      <c r="F49" s="38">
        <f t="shared" si="5"/>
        <v>3</v>
      </c>
      <c r="G49" s="24"/>
      <c r="H49" s="27"/>
      <c r="I49" s="21" t="s">
        <v>365</v>
      </c>
      <c r="J49" s="19" t="s">
        <v>179</v>
      </c>
      <c r="K49" s="19"/>
      <c r="L49" s="27"/>
    </row>
    <row r="50" spans="1:12" x14ac:dyDescent="0.3">
      <c r="A50" s="19"/>
      <c r="B50" s="19" t="s">
        <v>385</v>
      </c>
      <c r="C50" s="19" t="s">
        <v>388</v>
      </c>
      <c r="D50" s="19">
        <v>2</v>
      </c>
      <c r="E50" s="19">
        <v>1</v>
      </c>
      <c r="F50" s="38">
        <f t="shared" si="5"/>
        <v>3</v>
      </c>
      <c r="G50" s="24"/>
      <c r="H50" s="27"/>
      <c r="I50" s="21" t="s">
        <v>365</v>
      </c>
      <c r="J50" s="19" t="s">
        <v>179</v>
      </c>
      <c r="K50" s="19"/>
      <c r="L50" s="27"/>
    </row>
    <row r="51" spans="1:12" x14ac:dyDescent="0.3">
      <c r="A51" s="19"/>
      <c r="B51" s="19" t="s">
        <v>50</v>
      </c>
      <c r="C51" s="19" t="s">
        <v>125</v>
      </c>
      <c r="D51" s="19">
        <v>3</v>
      </c>
      <c r="E51" s="19"/>
      <c r="F51" s="38">
        <f t="shared" si="5"/>
        <v>3</v>
      </c>
      <c r="G51" s="24"/>
      <c r="H51" s="27"/>
      <c r="I51" s="21" t="s">
        <v>93</v>
      </c>
      <c r="J51" s="19" t="s">
        <v>179</v>
      </c>
      <c r="K51" s="19"/>
      <c r="L51" s="27"/>
    </row>
    <row r="52" spans="1:12" s="17" customFormat="1" x14ac:dyDescent="0.3">
      <c r="A52" s="57" t="s">
        <v>73</v>
      </c>
      <c r="B52" s="57"/>
      <c r="C52" s="57"/>
      <c r="D52" s="30">
        <f>SUM(D46:D51)</f>
        <v>16</v>
      </c>
      <c r="E52" s="30">
        <v>2</v>
      </c>
      <c r="F52" s="30">
        <f>SUM(D52:E52)</f>
        <v>18</v>
      </c>
      <c r="G52" s="25"/>
      <c r="H52" s="28"/>
      <c r="I52" s="22"/>
      <c r="J52" s="30"/>
      <c r="K52" s="30"/>
      <c r="L52" s="28"/>
    </row>
    <row r="53" spans="1:12" x14ac:dyDescent="0.3">
      <c r="A53" s="19"/>
      <c r="B53" s="19"/>
      <c r="C53" s="19"/>
      <c r="D53" s="19"/>
      <c r="E53" s="19"/>
      <c r="F53" s="19"/>
      <c r="G53" s="24"/>
      <c r="H53" s="27" t="s">
        <v>85</v>
      </c>
      <c r="I53" s="21"/>
      <c r="J53" s="19"/>
      <c r="K53" s="19"/>
      <c r="L53" s="27"/>
    </row>
    <row r="54" spans="1:12" x14ac:dyDescent="0.3">
      <c r="A54" s="19"/>
      <c r="B54" s="19" t="s">
        <v>53</v>
      </c>
      <c r="C54" s="19" t="s">
        <v>126</v>
      </c>
      <c r="D54" s="19">
        <v>6</v>
      </c>
      <c r="E54" s="19"/>
      <c r="F54" s="38">
        <f t="shared" ref="F54" si="6">SUM(D54:E54)</f>
        <v>6</v>
      </c>
      <c r="G54" s="24"/>
      <c r="H54" s="27"/>
      <c r="I54" s="21" t="s">
        <v>92</v>
      </c>
      <c r="J54" s="19" t="s">
        <v>179</v>
      </c>
      <c r="K54" s="19"/>
      <c r="L54" s="27" t="s">
        <v>599</v>
      </c>
    </row>
    <row r="55" spans="1:12" s="17" customFormat="1" x14ac:dyDescent="0.3">
      <c r="A55" s="57" t="s">
        <v>73</v>
      </c>
      <c r="B55" s="57"/>
      <c r="C55" s="57"/>
      <c r="D55" s="30">
        <f>SUM(D54)</f>
        <v>6</v>
      </c>
      <c r="E55" s="30"/>
      <c r="F55" s="30"/>
      <c r="G55" s="25"/>
      <c r="H55" s="28"/>
      <c r="I55" s="22"/>
      <c r="J55" s="30"/>
      <c r="K55" s="30"/>
      <c r="L55" s="28"/>
    </row>
    <row r="56" spans="1:12" x14ac:dyDescent="0.3">
      <c r="A56" s="19"/>
      <c r="B56" s="19"/>
      <c r="C56" s="19"/>
      <c r="D56" s="19"/>
      <c r="E56" s="19"/>
      <c r="F56" s="19"/>
      <c r="G56" s="24" t="s">
        <v>158</v>
      </c>
      <c r="H56" s="27" t="s">
        <v>159</v>
      </c>
      <c r="I56" s="21"/>
      <c r="J56" s="19"/>
      <c r="K56" s="19"/>
      <c r="L56" s="27"/>
    </row>
    <row r="57" spans="1:12" x14ac:dyDescent="0.3">
      <c r="A57" s="19"/>
      <c r="B57" s="19" t="s">
        <v>54</v>
      </c>
      <c r="C57" s="19" t="s">
        <v>80</v>
      </c>
      <c r="D57" s="19">
        <v>3</v>
      </c>
      <c r="E57" s="19"/>
      <c r="F57" s="38">
        <f t="shared" ref="F57:F62" si="7">SUM(D57:E57)</f>
        <v>3</v>
      </c>
      <c r="G57" s="24"/>
      <c r="H57" s="27"/>
      <c r="I57" s="21" t="s">
        <v>92</v>
      </c>
      <c r="J57" s="19" t="s">
        <v>179</v>
      </c>
      <c r="K57" s="19"/>
      <c r="L57" s="27" t="s">
        <v>591</v>
      </c>
    </row>
    <row r="58" spans="1:12" x14ac:dyDescent="0.3">
      <c r="A58" s="19"/>
      <c r="B58" s="19" t="s">
        <v>55</v>
      </c>
      <c r="C58" s="19" t="s">
        <v>79</v>
      </c>
      <c r="D58" s="19">
        <v>3</v>
      </c>
      <c r="E58" s="19"/>
      <c r="F58" s="38">
        <f t="shared" si="7"/>
        <v>3</v>
      </c>
      <c r="G58" s="24"/>
      <c r="H58" s="27"/>
      <c r="I58" s="21" t="s">
        <v>92</v>
      </c>
      <c r="J58" s="19" t="s">
        <v>179</v>
      </c>
      <c r="K58" s="19"/>
      <c r="L58" s="27" t="s">
        <v>591</v>
      </c>
    </row>
    <row r="59" spans="1:12" x14ac:dyDescent="0.3">
      <c r="A59" s="19"/>
      <c r="B59" s="19" t="s">
        <v>56</v>
      </c>
      <c r="C59" s="19" t="s">
        <v>78</v>
      </c>
      <c r="D59" s="19">
        <v>3</v>
      </c>
      <c r="E59" s="19"/>
      <c r="F59" s="38">
        <f t="shared" si="7"/>
        <v>3</v>
      </c>
      <c r="G59" s="24"/>
      <c r="H59" s="27"/>
      <c r="I59" s="21" t="s">
        <v>93</v>
      </c>
      <c r="J59" s="19" t="s">
        <v>179</v>
      </c>
      <c r="K59" s="19"/>
      <c r="L59" s="27"/>
    </row>
    <row r="60" spans="1:12" x14ac:dyDescent="0.3">
      <c r="A60" s="19"/>
      <c r="B60" s="19" t="s">
        <v>390</v>
      </c>
      <c r="C60" s="19" t="s">
        <v>393</v>
      </c>
      <c r="D60" s="19">
        <v>2</v>
      </c>
      <c r="E60" s="19">
        <v>1</v>
      </c>
      <c r="F60" s="38">
        <f t="shared" si="7"/>
        <v>3</v>
      </c>
      <c r="G60" s="24"/>
      <c r="H60" s="27"/>
      <c r="I60" s="21" t="s">
        <v>365</v>
      </c>
      <c r="J60" s="19" t="s">
        <v>179</v>
      </c>
      <c r="K60" s="19"/>
      <c r="L60" s="27"/>
    </row>
    <row r="61" spans="1:12" x14ac:dyDescent="0.3">
      <c r="A61" s="19"/>
      <c r="B61" s="19" t="s">
        <v>59</v>
      </c>
      <c r="C61" s="19" t="s">
        <v>75</v>
      </c>
      <c r="D61" s="19">
        <v>3</v>
      </c>
      <c r="E61" s="19"/>
      <c r="F61" s="38">
        <f t="shared" si="7"/>
        <v>3</v>
      </c>
      <c r="G61" s="24"/>
      <c r="H61" s="27"/>
      <c r="I61" s="21" t="s">
        <v>93</v>
      </c>
      <c r="J61" s="19" t="s">
        <v>179</v>
      </c>
      <c r="K61" s="19"/>
      <c r="L61" s="27"/>
    </row>
    <row r="62" spans="1:12" x14ac:dyDescent="0.3">
      <c r="A62" s="19"/>
      <c r="B62" s="19" t="s">
        <v>62</v>
      </c>
      <c r="C62" s="19" t="s">
        <v>71</v>
      </c>
      <c r="D62" s="19">
        <v>3</v>
      </c>
      <c r="E62" s="19"/>
      <c r="F62" s="38">
        <f t="shared" si="7"/>
        <v>3</v>
      </c>
      <c r="G62" s="24"/>
      <c r="H62" s="27"/>
      <c r="I62" s="21" t="s">
        <v>92</v>
      </c>
      <c r="J62" s="19" t="s">
        <v>179</v>
      </c>
      <c r="K62" s="19"/>
      <c r="L62" s="27" t="s">
        <v>591</v>
      </c>
    </row>
    <row r="63" spans="1:12" s="17" customFormat="1" x14ac:dyDescent="0.3">
      <c r="A63" s="57" t="s">
        <v>73</v>
      </c>
      <c r="B63" s="57"/>
      <c r="C63" s="57"/>
      <c r="D63" s="30">
        <f>SUM(D57:D62)</f>
        <v>17</v>
      </c>
      <c r="E63" s="30">
        <v>1</v>
      </c>
      <c r="F63" s="30">
        <f>SUM(D63:E63)</f>
        <v>18</v>
      </c>
      <c r="G63" s="25"/>
      <c r="H63" s="28"/>
      <c r="I63" s="22"/>
      <c r="J63" s="30"/>
      <c r="K63" s="30"/>
      <c r="L63" s="28"/>
    </row>
    <row r="64" spans="1:12" x14ac:dyDescent="0.3">
      <c r="A64" s="19"/>
      <c r="B64" s="19"/>
      <c r="C64" s="19"/>
      <c r="D64" s="19"/>
      <c r="E64" s="19"/>
      <c r="F64" s="19"/>
      <c r="G64" s="24"/>
      <c r="H64" s="27" t="s">
        <v>81</v>
      </c>
      <c r="I64" s="21"/>
      <c r="J64" s="19"/>
      <c r="K64" s="19"/>
      <c r="L64" s="27"/>
    </row>
    <row r="65" spans="1:12" x14ac:dyDescent="0.3">
      <c r="A65" s="19"/>
      <c r="B65" s="19" t="s">
        <v>61</v>
      </c>
      <c r="C65" s="19" t="s">
        <v>72</v>
      </c>
      <c r="D65" s="19">
        <v>2</v>
      </c>
      <c r="E65" s="19"/>
      <c r="F65" s="38">
        <f t="shared" ref="F65:F70" si="8">SUM(D65:E65)</f>
        <v>2</v>
      </c>
      <c r="G65" s="24"/>
      <c r="H65" s="27"/>
      <c r="I65" s="21" t="s">
        <v>92</v>
      </c>
      <c r="J65" s="19" t="s">
        <v>179</v>
      </c>
      <c r="K65" s="19"/>
      <c r="L65" s="27" t="s">
        <v>591</v>
      </c>
    </row>
    <row r="66" spans="1:12" x14ac:dyDescent="0.3">
      <c r="A66" s="19"/>
      <c r="B66" s="19" t="s">
        <v>58</v>
      </c>
      <c r="C66" s="19" t="s">
        <v>76</v>
      </c>
      <c r="D66" s="19">
        <v>2</v>
      </c>
      <c r="E66" s="19"/>
      <c r="F66" s="38">
        <f t="shared" si="8"/>
        <v>2</v>
      </c>
      <c r="G66" s="24"/>
      <c r="H66" s="27"/>
      <c r="I66" s="21" t="s">
        <v>92</v>
      </c>
      <c r="J66" s="19" t="s">
        <v>179</v>
      </c>
      <c r="K66" s="19"/>
      <c r="L66" s="27"/>
    </row>
    <row r="67" spans="1:12" x14ac:dyDescent="0.3">
      <c r="A67" s="19"/>
      <c r="B67" s="19" t="s">
        <v>63</v>
      </c>
      <c r="C67" s="19" t="s">
        <v>70</v>
      </c>
      <c r="D67" s="19">
        <v>3</v>
      </c>
      <c r="E67" s="19"/>
      <c r="F67" s="38">
        <f t="shared" si="8"/>
        <v>3</v>
      </c>
      <c r="G67" s="24"/>
      <c r="H67" s="27"/>
      <c r="I67" s="21" t="s">
        <v>93</v>
      </c>
      <c r="J67" s="19" t="s">
        <v>179</v>
      </c>
      <c r="K67" s="19"/>
      <c r="L67" s="27"/>
    </row>
    <row r="68" spans="1:12" x14ac:dyDescent="0.3">
      <c r="A68" s="19"/>
      <c r="B68" s="19" t="s">
        <v>64</v>
      </c>
      <c r="C68" s="19" t="s">
        <v>69</v>
      </c>
      <c r="D68" s="19">
        <v>3</v>
      </c>
      <c r="E68" s="19"/>
      <c r="F68" s="38">
        <f t="shared" si="8"/>
        <v>3</v>
      </c>
      <c r="G68" s="24"/>
      <c r="H68" s="27"/>
      <c r="I68" s="21" t="s">
        <v>93</v>
      </c>
      <c r="J68" s="19" t="s">
        <v>179</v>
      </c>
      <c r="K68" s="19"/>
      <c r="L68" s="27"/>
    </row>
    <row r="69" spans="1:12" x14ac:dyDescent="0.3">
      <c r="A69" s="19"/>
      <c r="B69" s="19" t="s">
        <v>391</v>
      </c>
      <c r="C69" s="19" t="s">
        <v>392</v>
      </c>
      <c r="D69" s="19">
        <v>4</v>
      </c>
      <c r="E69" s="19"/>
      <c r="F69" s="38">
        <f t="shared" si="8"/>
        <v>4</v>
      </c>
      <c r="G69" s="24"/>
      <c r="H69" s="27"/>
      <c r="I69" s="21" t="s">
        <v>365</v>
      </c>
      <c r="J69" s="19" t="s">
        <v>179</v>
      </c>
      <c r="K69" s="19"/>
      <c r="L69" s="27"/>
    </row>
    <row r="70" spans="1:12" x14ac:dyDescent="0.3">
      <c r="A70" s="19"/>
      <c r="B70" s="19" t="s">
        <v>37</v>
      </c>
      <c r="C70" s="19" t="s">
        <v>115</v>
      </c>
      <c r="D70" s="19">
        <v>3</v>
      </c>
      <c r="E70" s="19"/>
      <c r="F70" s="38">
        <f t="shared" si="8"/>
        <v>3</v>
      </c>
      <c r="G70" s="24"/>
      <c r="H70" s="27"/>
      <c r="I70" s="21" t="s">
        <v>102</v>
      </c>
      <c r="J70" s="19" t="s">
        <v>179</v>
      </c>
      <c r="K70" s="19"/>
      <c r="L70" s="27"/>
    </row>
    <row r="71" spans="1:12" s="17" customFormat="1" x14ac:dyDescent="0.3">
      <c r="A71" s="57" t="s">
        <v>73</v>
      </c>
      <c r="B71" s="57"/>
      <c r="C71" s="57"/>
      <c r="D71" s="30">
        <f>SUM(D65:D70)</f>
        <v>17</v>
      </c>
      <c r="E71" s="30"/>
      <c r="F71" s="30"/>
      <c r="G71" s="25"/>
      <c r="H71" s="28"/>
      <c r="I71" s="22"/>
      <c r="J71" s="30"/>
      <c r="K71" s="30"/>
      <c r="L71" s="28"/>
    </row>
    <row r="73" spans="1:12" x14ac:dyDescent="0.3">
      <c r="B73" s="38" t="s">
        <v>603</v>
      </c>
    </row>
    <row r="74" spans="1:12" x14ac:dyDescent="0.3">
      <c r="A74" s="38" t="s">
        <v>608</v>
      </c>
      <c r="B74" s="38">
        <f>SUMIF(I2:I70,I70,F2:F70)</f>
        <v>11</v>
      </c>
    </row>
    <row r="75" spans="1:12" x14ac:dyDescent="0.3">
      <c r="A75" s="38" t="s">
        <v>93</v>
      </c>
      <c r="B75" s="38">
        <f ca="1">SUMIF(I2:I72,I68,F2:F70)</f>
        <v>42</v>
      </c>
    </row>
    <row r="76" spans="1:12" x14ac:dyDescent="0.3">
      <c r="A76" s="38" t="s">
        <v>365</v>
      </c>
      <c r="B76" s="38">
        <f>SUMIF(I2:I71,I69,F2:F71)</f>
        <v>41</v>
      </c>
    </row>
    <row r="77" spans="1:12" x14ac:dyDescent="0.3">
      <c r="A77" s="38" t="s">
        <v>92</v>
      </c>
      <c r="B77" s="38">
        <f>SUMIF(I2:I71,I54,F2:F72)</f>
        <v>55</v>
      </c>
    </row>
    <row r="78" spans="1:12" x14ac:dyDescent="0.3">
      <c r="A78" s="38" t="s">
        <v>610</v>
      </c>
      <c r="B78" s="38">
        <f ca="1">SUM(B74:B77)</f>
        <v>149</v>
      </c>
    </row>
    <row r="79" spans="1:12" x14ac:dyDescent="0.3">
      <c r="A79" s="38"/>
      <c r="B79" s="38"/>
    </row>
    <row r="80" spans="1:12" x14ac:dyDescent="0.3">
      <c r="A80" s="38"/>
      <c r="B80" s="38"/>
    </row>
    <row r="81" spans="1:2" x14ac:dyDescent="0.3">
      <c r="A81" s="38" t="s">
        <v>604</v>
      </c>
      <c r="B81" s="38"/>
    </row>
    <row r="82" spans="1:2" x14ac:dyDescent="0.3">
      <c r="A82" s="38" t="s">
        <v>605</v>
      </c>
      <c r="B82" s="38" t="s">
        <v>606</v>
      </c>
    </row>
    <row r="83" spans="1:2" x14ac:dyDescent="0.3">
      <c r="A83" s="38" t="s">
        <v>607</v>
      </c>
      <c r="B83" s="38" t="s">
        <v>606</v>
      </c>
    </row>
  </sheetData>
  <mergeCells count="11">
    <mergeCell ref="D1:F1"/>
    <mergeCell ref="A52:C52"/>
    <mergeCell ref="A55:C55"/>
    <mergeCell ref="A63:C63"/>
    <mergeCell ref="A71:C71"/>
    <mergeCell ref="D2:F2"/>
    <mergeCell ref="A10:C10"/>
    <mergeCell ref="A19:C19"/>
    <mergeCell ref="A27:C27"/>
    <mergeCell ref="A36:C36"/>
    <mergeCell ref="A44:C4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opLeftCell="A67" workbookViewId="0">
      <selection activeCell="I94" sqref="I94"/>
    </sheetView>
  </sheetViews>
  <sheetFormatPr defaultRowHeight="14.4" x14ac:dyDescent="0.3"/>
  <cols>
    <col min="2" max="2" width="12.109375" bestFit="1" customWidth="1"/>
    <col min="3" max="3" width="51.5546875" bestFit="1" customWidth="1"/>
    <col min="4" max="4" width="11.5546875" customWidth="1"/>
    <col min="5" max="5" width="9.88671875" customWidth="1"/>
    <col min="6" max="6" width="12.109375" customWidth="1"/>
    <col min="7" max="7" width="10.33203125" style="1" bestFit="1" customWidth="1"/>
    <col min="8" max="8" width="14.88671875" style="50" bestFit="1" customWidth="1"/>
    <col min="9" max="9" width="30.44140625" style="3" bestFit="1" customWidth="1"/>
    <col min="10" max="10" width="39.109375" bestFit="1" customWidth="1"/>
    <col min="11" max="11" width="5.6640625" bestFit="1" customWidth="1"/>
    <col min="12" max="12" width="158.88671875" style="2" bestFit="1" customWidth="1"/>
  </cols>
  <sheetData>
    <row r="1" spans="1:12" x14ac:dyDescent="0.3">
      <c r="A1" s="11" t="s">
        <v>0</v>
      </c>
      <c r="B1" s="11" t="s">
        <v>1</v>
      </c>
      <c r="C1" s="11" t="s">
        <v>2</v>
      </c>
      <c r="D1" s="59" t="s">
        <v>3</v>
      </c>
      <c r="E1" s="59"/>
      <c r="F1" s="59"/>
      <c r="G1" s="12" t="s">
        <v>4</v>
      </c>
      <c r="H1" s="47" t="s">
        <v>5</v>
      </c>
      <c r="I1" s="14" t="s">
        <v>6</v>
      </c>
      <c r="J1" s="11" t="s">
        <v>7</v>
      </c>
      <c r="K1" s="11" t="s">
        <v>8</v>
      </c>
      <c r="L1" s="13" t="s">
        <v>9</v>
      </c>
    </row>
    <row r="2" spans="1:12" x14ac:dyDescent="0.3">
      <c r="A2" s="11" t="s">
        <v>553</v>
      </c>
      <c r="B2" s="11" t="s">
        <v>10</v>
      </c>
      <c r="C2" s="11" t="s">
        <v>11</v>
      </c>
      <c r="D2" s="59" t="s">
        <v>12</v>
      </c>
      <c r="E2" s="59"/>
      <c r="F2" s="59"/>
      <c r="G2" s="12" t="s">
        <v>13</v>
      </c>
      <c r="H2" s="47" t="s">
        <v>14</v>
      </c>
      <c r="I2" s="14"/>
      <c r="J2" s="11"/>
      <c r="K2" s="11"/>
      <c r="L2" s="13"/>
    </row>
    <row r="3" spans="1:12" x14ac:dyDescent="0.3">
      <c r="A3" s="11"/>
      <c r="B3" s="11"/>
      <c r="C3" s="11"/>
      <c r="D3" s="11" t="s">
        <v>282</v>
      </c>
      <c r="E3" s="11" t="s">
        <v>283</v>
      </c>
      <c r="F3" s="11" t="s">
        <v>284</v>
      </c>
      <c r="G3" s="12"/>
      <c r="H3" s="47"/>
      <c r="I3" s="14"/>
      <c r="J3" s="11"/>
      <c r="K3" s="11"/>
      <c r="L3" s="13"/>
    </row>
    <row r="4" spans="1:12" x14ac:dyDescent="0.3">
      <c r="A4" s="19"/>
      <c r="B4" s="19" t="s">
        <v>16</v>
      </c>
      <c r="C4" s="19" t="s">
        <v>87</v>
      </c>
      <c r="D4" s="19">
        <v>3</v>
      </c>
      <c r="E4" s="19"/>
      <c r="F4" s="19">
        <f>SUM(D4:E4)</f>
        <v>3</v>
      </c>
      <c r="G4" s="24"/>
      <c r="H4" s="48"/>
      <c r="I4" s="21" t="s">
        <v>92</v>
      </c>
      <c r="J4" s="19" t="s">
        <v>179</v>
      </c>
      <c r="K4" s="19"/>
      <c r="L4" s="27"/>
    </row>
    <row r="5" spans="1:12" x14ac:dyDescent="0.3">
      <c r="A5" s="19"/>
      <c r="B5" s="19" t="s">
        <v>29</v>
      </c>
      <c r="C5" s="19" t="s">
        <v>89</v>
      </c>
      <c r="D5" s="19">
        <v>2</v>
      </c>
      <c r="E5" s="19"/>
      <c r="F5" s="38">
        <f t="shared" ref="F5:F10" si="0">SUM(D5:E5)</f>
        <v>2</v>
      </c>
      <c r="G5" s="24"/>
      <c r="H5" s="48"/>
      <c r="I5" s="21" t="s">
        <v>92</v>
      </c>
      <c r="J5" s="19" t="s">
        <v>179</v>
      </c>
      <c r="K5" s="19"/>
      <c r="L5" s="27"/>
    </row>
    <row r="6" spans="1:12" x14ac:dyDescent="0.3">
      <c r="A6" s="19"/>
      <c r="B6" s="19" t="s">
        <v>17</v>
      </c>
      <c r="C6" s="19" t="s">
        <v>88</v>
      </c>
      <c r="D6" s="19">
        <v>3</v>
      </c>
      <c r="E6" s="19"/>
      <c r="F6" s="38">
        <f t="shared" si="0"/>
        <v>3</v>
      </c>
      <c r="G6" s="24"/>
      <c r="H6" s="48"/>
      <c r="I6" s="21" t="s">
        <v>102</v>
      </c>
      <c r="J6" s="19" t="s">
        <v>179</v>
      </c>
      <c r="K6" s="19"/>
      <c r="L6" s="27"/>
    </row>
    <row r="7" spans="1:12" x14ac:dyDescent="0.3">
      <c r="A7" s="19"/>
      <c r="B7" s="19" t="s">
        <v>395</v>
      </c>
      <c r="C7" s="19" t="s">
        <v>397</v>
      </c>
      <c r="D7" s="19">
        <v>1</v>
      </c>
      <c r="E7" s="19"/>
      <c r="F7" s="38">
        <f t="shared" si="0"/>
        <v>1</v>
      </c>
      <c r="G7" s="24"/>
      <c r="H7" s="48"/>
      <c r="I7" s="21" t="s">
        <v>399</v>
      </c>
      <c r="J7" s="19" t="s">
        <v>179</v>
      </c>
      <c r="K7" s="19"/>
      <c r="L7" s="27"/>
    </row>
    <row r="8" spans="1:12" x14ac:dyDescent="0.3">
      <c r="A8" s="19"/>
      <c r="B8" s="19" t="s">
        <v>396</v>
      </c>
      <c r="C8" s="19" t="s">
        <v>398</v>
      </c>
      <c r="D8" s="19">
        <v>2</v>
      </c>
      <c r="E8" s="19">
        <v>1</v>
      </c>
      <c r="F8" s="38">
        <f t="shared" si="0"/>
        <v>3</v>
      </c>
      <c r="G8" s="24"/>
      <c r="H8" s="48"/>
      <c r="I8" s="21" t="s">
        <v>399</v>
      </c>
      <c r="J8" s="19" t="s">
        <v>179</v>
      </c>
      <c r="K8" s="19"/>
      <c r="L8" s="27"/>
    </row>
    <row r="9" spans="1:12" x14ac:dyDescent="0.3">
      <c r="A9" s="19"/>
      <c r="B9" s="19" t="s">
        <v>361</v>
      </c>
      <c r="C9" s="19" t="s">
        <v>363</v>
      </c>
      <c r="D9" s="19">
        <v>2</v>
      </c>
      <c r="E9" s="19">
        <v>1</v>
      </c>
      <c r="F9" s="38">
        <f t="shared" si="0"/>
        <v>3</v>
      </c>
      <c r="G9" s="24"/>
      <c r="H9" s="48"/>
      <c r="I9" s="21" t="s">
        <v>365</v>
      </c>
      <c r="J9" s="19" t="s">
        <v>179</v>
      </c>
      <c r="K9" s="19"/>
      <c r="L9" s="27"/>
    </row>
    <row r="10" spans="1:12" x14ac:dyDescent="0.3">
      <c r="A10" s="19"/>
      <c r="B10" s="19" t="s">
        <v>360</v>
      </c>
      <c r="C10" s="19" t="s">
        <v>364</v>
      </c>
      <c r="D10" s="19">
        <v>2</v>
      </c>
      <c r="E10" s="19">
        <v>1</v>
      </c>
      <c r="F10" s="38">
        <f t="shared" si="0"/>
        <v>3</v>
      </c>
      <c r="G10" s="24"/>
      <c r="H10" s="48"/>
      <c r="I10" s="21" t="s">
        <v>365</v>
      </c>
      <c r="J10" s="19" t="s">
        <v>179</v>
      </c>
      <c r="K10" s="19"/>
      <c r="L10" s="27"/>
    </row>
    <row r="11" spans="1:12" s="17" customFormat="1" x14ac:dyDescent="0.3">
      <c r="A11" s="57" t="s">
        <v>73</v>
      </c>
      <c r="B11" s="57"/>
      <c r="C11" s="57"/>
      <c r="D11" s="30">
        <f>SUM(D4:D4:D10)</f>
        <v>15</v>
      </c>
      <c r="E11" s="30">
        <v>3</v>
      </c>
      <c r="F11" s="30">
        <f>SUM(D11:E11)</f>
        <v>18</v>
      </c>
      <c r="G11" s="25"/>
      <c r="H11" s="49"/>
      <c r="I11" s="22"/>
      <c r="J11" s="30"/>
      <c r="K11" s="30"/>
      <c r="L11" s="28"/>
    </row>
    <row r="12" spans="1:12" x14ac:dyDescent="0.3">
      <c r="A12" s="19"/>
      <c r="B12" s="19"/>
      <c r="C12" s="19"/>
      <c r="D12" s="19"/>
      <c r="E12" s="19"/>
      <c r="F12" s="19"/>
      <c r="G12" s="24"/>
      <c r="H12" s="48" t="s">
        <v>81</v>
      </c>
      <c r="I12" s="21"/>
      <c r="J12" s="19"/>
      <c r="K12" s="19"/>
      <c r="L12" s="27"/>
    </row>
    <row r="13" spans="1:12" x14ac:dyDescent="0.3">
      <c r="A13" s="19"/>
      <c r="B13" s="19" t="s">
        <v>22</v>
      </c>
      <c r="C13" s="19" t="s">
        <v>95</v>
      </c>
      <c r="D13" s="19">
        <v>2</v>
      </c>
      <c r="E13" s="19"/>
      <c r="F13" s="38">
        <f t="shared" ref="F13:F19" si="1">SUM(D13:E13)</f>
        <v>2</v>
      </c>
      <c r="G13" s="24"/>
      <c r="H13" s="48"/>
      <c r="I13" s="21" t="s">
        <v>92</v>
      </c>
      <c r="J13" s="19" t="s">
        <v>179</v>
      </c>
      <c r="K13" s="19"/>
      <c r="L13" s="27"/>
    </row>
    <row r="14" spans="1:12" x14ac:dyDescent="0.3">
      <c r="A14" s="19"/>
      <c r="B14" s="19" t="s">
        <v>23</v>
      </c>
      <c r="C14" s="19" t="s">
        <v>96</v>
      </c>
      <c r="D14" s="19">
        <v>2</v>
      </c>
      <c r="E14" s="19"/>
      <c r="F14" s="38">
        <f t="shared" si="1"/>
        <v>2</v>
      </c>
      <c r="G14" s="24"/>
      <c r="H14" s="48"/>
      <c r="I14" s="21" t="s">
        <v>92</v>
      </c>
      <c r="J14" s="19" t="s">
        <v>179</v>
      </c>
      <c r="K14" s="19"/>
      <c r="L14" s="27" t="s">
        <v>592</v>
      </c>
    </row>
    <row r="15" spans="1:12" x14ac:dyDescent="0.3">
      <c r="A15" s="19"/>
      <c r="B15" s="19" t="s">
        <v>25</v>
      </c>
      <c r="C15" s="19" t="s">
        <v>171</v>
      </c>
      <c r="D15" s="19">
        <v>2</v>
      </c>
      <c r="E15" s="19"/>
      <c r="F15" s="38">
        <f t="shared" si="1"/>
        <v>2</v>
      </c>
      <c r="G15" s="24"/>
      <c r="H15" s="48"/>
      <c r="I15" s="21" t="s">
        <v>102</v>
      </c>
      <c r="J15" s="19" t="s">
        <v>179</v>
      </c>
      <c r="K15" s="19"/>
      <c r="L15" s="27"/>
    </row>
    <row r="16" spans="1:12" x14ac:dyDescent="0.3">
      <c r="A16" s="19"/>
      <c r="B16" s="19" t="s">
        <v>400</v>
      </c>
      <c r="C16" s="19" t="s">
        <v>402</v>
      </c>
      <c r="D16" s="19">
        <v>2</v>
      </c>
      <c r="E16" s="19">
        <v>1</v>
      </c>
      <c r="F16" s="38">
        <f t="shared" si="1"/>
        <v>3</v>
      </c>
      <c r="G16" s="24"/>
      <c r="H16" s="48"/>
      <c r="I16" s="21" t="s">
        <v>399</v>
      </c>
      <c r="J16" s="19" t="s">
        <v>179</v>
      </c>
      <c r="K16" s="19"/>
      <c r="L16" s="27"/>
    </row>
    <row r="17" spans="1:12" x14ac:dyDescent="0.3">
      <c r="A17" s="19"/>
      <c r="B17" s="19" t="s">
        <v>401</v>
      </c>
      <c r="C17" s="19" t="s">
        <v>403</v>
      </c>
      <c r="D17" s="19">
        <v>3</v>
      </c>
      <c r="E17" s="19"/>
      <c r="F17" s="38">
        <f t="shared" si="1"/>
        <v>3</v>
      </c>
      <c r="G17" s="24"/>
      <c r="H17" s="48"/>
      <c r="I17" s="21" t="s">
        <v>399</v>
      </c>
      <c r="J17" s="19" t="s">
        <v>179</v>
      </c>
      <c r="K17" s="19"/>
      <c r="L17" s="27"/>
    </row>
    <row r="18" spans="1:12" x14ac:dyDescent="0.3">
      <c r="A18" s="19"/>
      <c r="B18" s="19" t="s">
        <v>366</v>
      </c>
      <c r="C18" s="19" t="s">
        <v>368</v>
      </c>
      <c r="D18" s="19">
        <v>2</v>
      </c>
      <c r="E18" s="19">
        <v>1</v>
      </c>
      <c r="F18" s="38">
        <f>SUM(D18:E18)</f>
        <v>3</v>
      </c>
      <c r="G18" s="24"/>
      <c r="H18" s="48"/>
      <c r="I18" s="21" t="s">
        <v>365</v>
      </c>
      <c r="J18" s="19" t="s">
        <v>179</v>
      </c>
      <c r="K18" s="19"/>
      <c r="L18" s="27"/>
    </row>
    <row r="19" spans="1:12" x14ac:dyDescent="0.3">
      <c r="A19" s="19"/>
      <c r="B19" s="19" t="s">
        <v>367</v>
      </c>
      <c r="C19" s="19" t="s">
        <v>369</v>
      </c>
      <c r="D19" s="19">
        <v>2</v>
      </c>
      <c r="E19" s="19">
        <v>1</v>
      </c>
      <c r="F19" s="38">
        <f t="shared" si="1"/>
        <v>3</v>
      </c>
      <c r="G19" s="24"/>
      <c r="H19" s="48"/>
      <c r="I19" s="21" t="s">
        <v>365</v>
      </c>
      <c r="J19" s="19" t="s">
        <v>179</v>
      </c>
      <c r="K19" s="19"/>
      <c r="L19" s="27"/>
    </row>
    <row r="20" spans="1:12" s="17" customFormat="1" x14ac:dyDescent="0.3">
      <c r="A20" s="57" t="s">
        <v>73</v>
      </c>
      <c r="B20" s="57"/>
      <c r="C20" s="57"/>
      <c r="D20" s="30">
        <f>SUM(D13:D19)</f>
        <v>15</v>
      </c>
      <c r="E20" s="30">
        <v>3</v>
      </c>
      <c r="F20" s="30">
        <f>SUM(D20:E20)</f>
        <v>18</v>
      </c>
      <c r="G20" s="25"/>
      <c r="H20" s="49"/>
      <c r="I20" s="22"/>
      <c r="J20" s="30"/>
      <c r="K20" s="30"/>
      <c r="L20" s="28"/>
    </row>
    <row r="21" spans="1:12" x14ac:dyDescent="0.3">
      <c r="A21" s="19"/>
      <c r="B21" s="19"/>
      <c r="C21" s="19"/>
      <c r="D21" s="19"/>
      <c r="E21" s="19"/>
      <c r="F21" s="19"/>
      <c r="G21" s="24" t="s">
        <v>83</v>
      </c>
      <c r="H21" s="48" t="s">
        <v>159</v>
      </c>
      <c r="I21" s="21"/>
      <c r="J21" s="19"/>
      <c r="K21" s="19"/>
      <c r="L21" s="27"/>
    </row>
    <row r="22" spans="1:12" x14ac:dyDescent="0.3">
      <c r="A22" s="19"/>
      <c r="B22" s="19" t="s">
        <v>30</v>
      </c>
      <c r="C22" s="19" t="s">
        <v>103</v>
      </c>
      <c r="D22" s="19">
        <v>3</v>
      </c>
      <c r="E22" s="19"/>
      <c r="F22" s="38">
        <f>SUM(D22:E22)</f>
        <v>3</v>
      </c>
      <c r="G22" s="24"/>
      <c r="H22" s="48"/>
      <c r="I22" s="21" t="s">
        <v>92</v>
      </c>
      <c r="J22" s="19" t="s">
        <v>179</v>
      </c>
      <c r="K22" s="19"/>
      <c r="L22" s="27" t="s">
        <v>594</v>
      </c>
    </row>
    <row r="23" spans="1:12" x14ac:dyDescent="0.3">
      <c r="A23" s="19"/>
      <c r="B23" s="19" t="s">
        <v>60</v>
      </c>
      <c r="C23" s="19" t="s">
        <v>74</v>
      </c>
      <c r="D23" s="19">
        <v>2</v>
      </c>
      <c r="E23" s="19"/>
      <c r="F23" s="38">
        <f t="shared" ref="F23:F28" si="2">SUM(D23:E23)</f>
        <v>2</v>
      </c>
      <c r="G23" s="24"/>
      <c r="H23" s="48"/>
      <c r="I23" s="21" t="s">
        <v>102</v>
      </c>
      <c r="J23" s="19" t="s">
        <v>179</v>
      </c>
      <c r="K23" s="19"/>
      <c r="L23" s="27"/>
    </row>
    <row r="24" spans="1:12" x14ac:dyDescent="0.3">
      <c r="A24" s="19"/>
      <c r="B24" s="19" t="s">
        <v>58</v>
      </c>
      <c r="C24" s="19" t="s">
        <v>324</v>
      </c>
      <c r="D24" s="19">
        <v>2</v>
      </c>
      <c r="E24" s="19"/>
      <c r="F24" s="38">
        <f t="shared" si="2"/>
        <v>2</v>
      </c>
      <c r="G24" s="24"/>
      <c r="H24" s="48"/>
      <c r="I24" s="21" t="s">
        <v>92</v>
      </c>
      <c r="J24" s="19" t="s">
        <v>179</v>
      </c>
      <c r="K24" s="19"/>
      <c r="L24" s="27"/>
    </row>
    <row r="25" spans="1:12" x14ac:dyDescent="0.3">
      <c r="A25" s="19"/>
      <c r="B25" s="19" t="s">
        <v>404</v>
      </c>
      <c r="C25" s="19" t="s">
        <v>407</v>
      </c>
      <c r="D25" s="19">
        <v>1</v>
      </c>
      <c r="E25" s="19"/>
      <c r="F25" s="38">
        <f t="shared" si="2"/>
        <v>1</v>
      </c>
      <c r="G25" s="24"/>
      <c r="H25" s="48"/>
      <c r="I25" s="21" t="s">
        <v>399</v>
      </c>
      <c r="J25" s="19" t="s">
        <v>179</v>
      </c>
      <c r="K25" s="19"/>
      <c r="L25" s="27"/>
    </row>
    <row r="26" spans="1:12" x14ac:dyDescent="0.3">
      <c r="A26" s="19"/>
      <c r="B26" s="19" t="s">
        <v>405</v>
      </c>
      <c r="C26" s="19" t="s">
        <v>408</v>
      </c>
      <c r="D26" s="19">
        <v>3</v>
      </c>
      <c r="E26" s="19"/>
      <c r="F26" s="38">
        <f t="shared" si="2"/>
        <v>3</v>
      </c>
      <c r="G26" s="24"/>
      <c r="H26" s="48"/>
      <c r="I26" s="21" t="s">
        <v>399</v>
      </c>
      <c r="J26" s="19" t="s">
        <v>179</v>
      </c>
      <c r="K26" s="19"/>
      <c r="L26" s="27"/>
    </row>
    <row r="27" spans="1:12" x14ac:dyDescent="0.3">
      <c r="A27" s="19"/>
      <c r="B27" s="19" t="s">
        <v>370</v>
      </c>
      <c r="C27" s="19" t="s">
        <v>375</v>
      </c>
      <c r="D27" s="19">
        <v>3</v>
      </c>
      <c r="E27" s="19"/>
      <c r="F27" s="38">
        <f t="shared" si="2"/>
        <v>3</v>
      </c>
      <c r="G27" s="24"/>
      <c r="H27" s="48"/>
      <c r="I27" s="21" t="s">
        <v>365</v>
      </c>
      <c r="J27" s="19" t="s">
        <v>179</v>
      </c>
      <c r="K27" s="19"/>
      <c r="L27" s="27"/>
    </row>
    <row r="28" spans="1:12" x14ac:dyDescent="0.3">
      <c r="A28" s="19"/>
      <c r="B28" s="19" t="s">
        <v>371</v>
      </c>
      <c r="C28" s="19" t="s">
        <v>376</v>
      </c>
      <c r="D28" s="19">
        <v>3</v>
      </c>
      <c r="E28" s="19">
        <v>1</v>
      </c>
      <c r="F28" s="38">
        <f t="shared" si="2"/>
        <v>4</v>
      </c>
      <c r="G28" s="24"/>
      <c r="H28" s="48"/>
      <c r="I28" s="21" t="s">
        <v>365</v>
      </c>
      <c r="J28" s="19" t="s">
        <v>179</v>
      </c>
      <c r="K28" s="19"/>
      <c r="L28" s="27"/>
    </row>
    <row r="29" spans="1:12" s="17" customFormat="1" x14ac:dyDescent="0.3">
      <c r="A29" s="57" t="s">
        <v>73</v>
      </c>
      <c r="B29" s="57"/>
      <c r="C29" s="57"/>
      <c r="D29" s="30">
        <f>SUM(D22:D22:D28)</f>
        <v>17</v>
      </c>
      <c r="E29" s="30">
        <v>1</v>
      </c>
      <c r="F29" s="30">
        <f>SUM(D29:E29)</f>
        <v>18</v>
      </c>
      <c r="G29" s="25"/>
      <c r="H29" s="49"/>
      <c r="I29" s="22"/>
      <c r="J29" s="30"/>
      <c r="K29" s="30"/>
      <c r="L29" s="28"/>
    </row>
    <row r="30" spans="1:12" x14ac:dyDescent="0.3">
      <c r="A30" s="19"/>
      <c r="B30" s="19"/>
      <c r="C30" s="19"/>
      <c r="D30" s="19"/>
      <c r="E30" s="19"/>
      <c r="F30" s="19"/>
      <c r="G30" s="24"/>
      <c r="H30" s="48" t="s">
        <v>81</v>
      </c>
      <c r="I30" s="21"/>
      <c r="J30" s="19"/>
      <c r="K30" s="19"/>
      <c r="L30" s="27"/>
    </row>
    <row r="31" spans="1:12" x14ac:dyDescent="0.3">
      <c r="A31" s="19"/>
      <c r="B31" s="19" t="s">
        <v>35</v>
      </c>
      <c r="C31" s="19" t="s">
        <v>110</v>
      </c>
      <c r="D31" s="19">
        <v>3</v>
      </c>
      <c r="E31" s="19"/>
      <c r="F31" s="38">
        <f>SUM(D31:E31)</f>
        <v>3</v>
      </c>
      <c r="G31" s="24"/>
      <c r="H31" s="48"/>
      <c r="I31" s="21" t="s">
        <v>92</v>
      </c>
      <c r="J31" s="19" t="s">
        <v>179</v>
      </c>
      <c r="K31" s="19"/>
      <c r="L31" s="27" t="s">
        <v>595</v>
      </c>
    </row>
    <row r="32" spans="1:12" x14ac:dyDescent="0.3">
      <c r="A32" s="19"/>
      <c r="B32" s="19" t="s">
        <v>36</v>
      </c>
      <c r="C32" s="19" t="s">
        <v>316</v>
      </c>
      <c r="D32" s="19">
        <v>3</v>
      </c>
      <c r="E32" s="19"/>
      <c r="F32" s="38">
        <f t="shared" ref="F32:F36" si="3">SUM(D32:E32)</f>
        <v>3</v>
      </c>
      <c r="G32" s="24"/>
      <c r="H32" s="48"/>
      <c r="I32" s="21" t="s">
        <v>92</v>
      </c>
      <c r="J32" s="19" t="s">
        <v>179</v>
      </c>
      <c r="K32" s="19"/>
      <c r="L32" s="27"/>
    </row>
    <row r="33" spans="1:12" x14ac:dyDescent="0.3">
      <c r="A33" s="19"/>
      <c r="B33" s="19" t="s">
        <v>409</v>
      </c>
      <c r="C33" s="19" t="s">
        <v>411</v>
      </c>
      <c r="D33" s="19">
        <v>3</v>
      </c>
      <c r="E33" s="19"/>
      <c r="F33" s="38">
        <f t="shared" si="3"/>
        <v>3</v>
      </c>
      <c r="G33" s="24"/>
      <c r="H33" s="48"/>
      <c r="I33" s="21" t="s">
        <v>399</v>
      </c>
      <c r="J33" s="19" t="s">
        <v>179</v>
      </c>
      <c r="K33" s="19"/>
      <c r="L33" s="27"/>
    </row>
    <row r="34" spans="1:12" x14ac:dyDescent="0.3">
      <c r="A34" s="19"/>
      <c r="B34" s="19" t="s">
        <v>410</v>
      </c>
      <c r="C34" s="19" t="s">
        <v>412</v>
      </c>
      <c r="D34" s="19">
        <v>3</v>
      </c>
      <c r="E34" s="19"/>
      <c r="F34" s="38">
        <f t="shared" si="3"/>
        <v>3</v>
      </c>
      <c r="G34" s="24"/>
      <c r="H34" s="48"/>
      <c r="I34" s="21" t="s">
        <v>399</v>
      </c>
      <c r="J34" s="19" t="s">
        <v>179</v>
      </c>
      <c r="K34" s="19"/>
      <c r="L34" s="27"/>
    </row>
    <row r="35" spans="1:12" x14ac:dyDescent="0.3">
      <c r="A35" s="19"/>
      <c r="B35" s="19" t="s">
        <v>372</v>
      </c>
      <c r="C35" s="19" t="s">
        <v>377</v>
      </c>
      <c r="D35" s="19">
        <v>2</v>
      </c>
      <c r="E35" s="19">
        <v>1</v>
      </c>
      <c r="F35" s="38">
        <f t="shared" si="3"/>
        <v>3</v>
      </c>
      <c r="G35" s="24"/>
      <c r="H35" s="48"/>
      <c r="I35" s="21" t="s">
        <v>365</v>
      </c>
      <c r="J35" s="19" t="s">
        <v>179</v>
      </c>
      <c r="K35" s="19"/>
      <c r="L35" s="27"/>
    </row>
    <row r="36" spans="1:12" x14ac:dyDescent="0.3">
      <c r="A36" s="19"/>
      <c r="B36" s="19" t="s">
        <v>373</v>
      </c>
      <c r="C36" s="19" t="s">
        <v>378</v>
      </c>
      <c r="D36" s="19">
        <v>3</v>
      </c>
      <c r="E36" s="19"/>
      <c r="F36" s="38">
        <f t="shared" si="3"/>
        <v>3</v>
      </c>
      <c r="G36" s="24"/>
      <c r="H36" s="48"/>
      <c r="I36" s="21" t="s">
        <v>365</v>
      </c>
      <c r="J36" s="19" t="s">
        <v>179</v>
      </c>
      <c r="K36" s="19"/>
      <c r="L36" s="27"/>
    </row>
    <row r="37" spans="1:12" s="17" customFormat="1" x14ac:dyDescent="0.3">
      <c r="A37" s="57" t="s">
        <v>73</v>
      </c>
      <c r="B37" s="57"/>
      <c r="C37" s="57"/>
      <c r="D37" s="30">
        <f>SUM(D31:D36)</f>
        <v>17</v>
      </c>
      <c r="E37" s="30">
        <v>1</v>
      </c>
      <c r="F37" s="30">
        <f>SUM(D37:E37)</f>
        <v>18</v>
      </c>
      <c r="G37" s="25"/>
      <c r="H37" s="49"/>
      <c r="I37" s="22"/>
      <c r="J37" s="30"/>
      <c r="K37" s="30"/>
      <c r="L37" s="28"/>
    </row>
    <row r="38" spans="1:12" x14ac:dyDescent="0.3">
      <c r="A38" s="19"/>
      <c r="B38" s="19"/>
      <c r="C38" s="19"/>
      <c r="D38" s="19"/>
      <c r="E38" s="19"/>
      <c r="F38" s="19"/>
      <c r="G38" s="24" t="s">
        <v>84</v>
      </c>
      <c r="H38" s="48" t="s">
        <v>14</v>
      </c>
      <c r="I38" s="21"/>
      <c r="J38" s="19"/>
      <c r="K38" s="19"/>
      <c r="L38" s="27"/>
    </row>
    <row r="39" spans="1:12" x14ac:dyDescent="0.3">
      <c r="A39" s="19"/>
      <c r="B39" s="19" t="s">
        <v>41</v>
      </c>
      <c r="C39" s="19" t="s">
        <v>330</v>
      </c>
      <c r="D39" s="19">
        <v>3</v>
      </c>
      <c r="E39" s="19"/>
      <c r="F39" s="38">
        <f t="shared" ref="F39:F44" si="4">SUM(D39:E39)</f>
        <v>3</v>
      </c>
      <c r="G39" s="24"/>
      <c r="H39" s="48"/>
      <c r="I39" s="21" t="s">
        <v>92</v>
      </c>
      <c r="J39" s="19" t="s">
        <v>179</v>
      </c>
      <c r="K39" s="19"/>
      <c r="L39" s="27" t="s">
        <v>596</v>
      </c>
    </row>
    <row r="40" spans="1:12" x14ac:dyDescent="0.3">
      <c r="A40" s="19"/>
      <c r="B40" s="19" t="s">
        <v>42</v>
      </c>
      <c r="C40" s="19" t="s">
        <v>418</v>
      </c>
      <c r="D40" s="19">
        <v>3</v>
      </c>
      <c r="E40" s="19"/>
      <c r="F40" s="38">
        <f t="shared" si="4"/>
        <v>3</v>
      </c>
      <c r="G40" s="24"/>
      <c r="H40" s="48"/>
      <c r="I40" s="21" t="s">
        <v>92</v>
      </c>
      <c r="J40" s="19" t="s">
        <v>179</v>
      </c>
      <c r="K40" s="19"/>
      <c r="L40" s="27" t="s">
        <v>598</v>
      </c>
    </row>
    <row r="41" spans="1:12" x14ac:dyDescent="0.3">
      <c r="A41" s="19"/>
      <c r="B41" s="19" t="s">
        <v>413</v>
      </c>
      <c r="C41" s="19" t="s">
        <v>419</v>
      </c>
      <c r="D41" s="19">
        <v>2</v>
      </c>
      <c r="E41" s="19"/>
      <c r="F41" s="38">
        <f t="shared" si="4"/>
        <v>2</v>
      </c>
      <c r="G41" s="24"/>
      <c r="H41" s="48"/>
      <c r="I41" s="21" t="s">
        <v>399</v>
      </c>
      <c r="J41" s="19" t="s">
        <v>179</v>
      </c>
      <c r="K41" s="19"/>
      <c r="L41" s="27"/>
    </row>
    <row r="42" spans="1:12" x14ac:dyDescent="0.3">
      <c r="A42" s="19"/>
      <c r="B42" s="19" t="s">
        <v>414</v>
      </c>
      <c r="C42" s="19" t="s">
        <v>420</v>
      </c>
      <c r="D42" s="19">
        <v>3</v>
      </c>
      <c r="E42" s="19"/>
      <c r="F42" s="38">
        <f t="shared" si="4"/>
        <v>3</v>
      </c>
      <c r="G42" s="24"/>
      <c r="H42" s="48"/>
      <c r="I42" s="21" t="s">
        <v>399</v>
      </c>
      <c r="J42" s="19" t="s">
        <v>179</v>
      </c>
      <c r="K42" s="19"/>
      <c r="L42" s="27"/>
    </row>
    <row r="43" spans="1:12" x14ac:dyDescent="0.3">
      <c r="A43" s="19"/>
      <c r="B43" s="19" t="s">
        <v>31</v>
      </c>
      <c r="C43" s="19" t="s">
        <v>380</v>
      </c>
      <c r="D43" s="19">
        <v>3</v>
      </c>
      <c r="E43" s="19"/>
      <c r="F43" s="38">
        <f t="shared" si="4"/>
        <v>3</v>
      </c>
      <c r="G43" s="24"/>
      <c r="H43" s="48"/>
      <c r="I43" s="21" t="s">
        <v>92</v>
      </c>
      <c r="J43" s="19"/>
      <c r="K43" s="19"/>
      <c r="L43" s="27"/>
    </row>
    <row r="44" spans="1:12" x14ac:dyDescent="0.3">
      <c r="A44" s="19"/>
      <c r="B44" s="19" t="s">
        <v>379</v>
      </c>
      <c r="C44" s="19" t="s">
        <v>381</v>
      </c>
      <c r="D44" s="19">
        <v>2</v>
      </c>
      <c r="E44" s="19">
        <v>1</v>
      </c>
      <c r="F44" s="38">
        <f t="shared" si="4"/>
        <v>3</v>
      </c>
      <c r="G44" s="24"/>
      <c r="H44" s="48"/>
      <c r="I44" s="21" t="s">
        <v>365</v>
      </c>
      <c r="J44" s="19"/>
      <c r="K44" s="19"/>
      <c r="L44" s="27"/>
    </row>
    <row r="45" spans="1:12" s="17" customFormat="1" x14ac:dyDescent="0.3">
      <c r="A45" s="57" t="s">
        <v>73</v>
      </c>
      <c r="B45" s="57"/>
      <c r="C45" s="57"/>
      <c r="D45" s="30">
        <f>SUM(D39:D44)</f>
        <v>16</v>
      </c>
      <c r="E45" s="30">
        <v>1</v>
      </c>
      <c r="F45" s="30">
        <f>SUM(D45:E45)</f>
        <v>17</v>
      </c>
      <c r="G45" s="25"/>
      <c r="H45" s="49"/>
      <c r="I45" s="22"/>
      <c r="J45" s="30"/>
      <c r="K45" s="30"/>
      <c r="L45" s="28"/>
    </row>
    <row r="46" spans="1:12" x14ac:dyDescent="0.3">
      <c r="A46" s="19"/>
      <c r="B46" s="19"/>
      <c r="C46" s="19"/>
      <c r="D46" s="19"/>
      <c r="E46" s="19"/>
      <c r="F46" s="19"/>
      <c r="G46" s="24"/>
      <c r="H46" s="48" t="s">
        <v>81</v>
      </c>
      <c r="I46" s="21"/>
      <c r="J46" s="19"/>
      <c r="K46" s="19"/>
      <c r="L46" s="27"/>
    </row>
    <row r="47" spans="1:12" x14ac:dyDescent="0.3">
      <c r="A47" s="19"/>
      <c r="B47" s="19" t="s">
        <v>415</v>
      </c>
      <c r="C47" s="19" t="s">
        <v>421</v>
      </c>
      <c r="D47" s="19">
        <v>3</v>
      </c>
      <c r="E47" s="19"/>
      <c r="F47" s="38">
        <f t="shared" ref="F47:F52" si="5">SUM(D47:E47)</f>
        <v>3</v>
      </c>
      <c r="G47" s="24"/>
      <c r="H47" s="48"/>
      <c r="I47" s="21" t="s">
        <v>92</v>
      </c>
      <c r="J47" s="19" t="s">
        <v>179</v>
      </c>
      <c r="K47" s="19"/>
      <c r="L47" s="27"/>
    </row>
    <row r="48" spans="1:12" x14ac:dyDescent="0.3">
      <c r="A48" s="19"/>
      <c r="B48" s="19" t="s">
        <v>383</v>
      </c>
      <c r="C48" s="19" t="s">
        <v>386</v>
      </c>
      <c r="D48" s="19">
        <v>3</v>
      </c>
      <c r="E48" s="19"/>
      <c r="F48" s="38">
        <f t="shared" si="5"/>
        <v>3</v>
      </c>
      <c r="G48" s="24"/>
      <c r="H48" s="48"/>
      <c r="I48" s="21" t="s">
        <v>92</v>
      </c>
      <c r="J48" s="19" t="s">
        <v>179</v>
      </c>
      <c r="K48" s="19"/>
      <c r="L48" s="27"/>
    </row>
    <row r="49" spans="1:12" x14ac:dyDescent="0.3">
      <c r="A49" s="19"/>
      <c r="B49" s="19" t="s">
        <v>49</v>
      </c>
      <c r="C49" s="19" t="s">
        <v>338</v>
      </c>
      <c r="D49" s="19">
        <v>3</v>
      </c>
      <c r="E49" s="19"/>
      <c r="F49" s="38">
        <f t="shared" si="5"/>
        <v>3</v>
      </c>
      <c r="G49" s="24"/>
      <c r="H49" s="48"/>
      <c r="I49" s="21" t="s">
        <v>92</v>
      </c>
      <c r="J49" s="19" t="s">
        <v>179</v>
      </c>
      <c r="K49" s="19"/>
      <c r="L49" s="27" t="s">
        <v>597</v>
      </c>
    </row>
    <row r="50" spans="1:12" x14ac:dyDescent="0.3">
      <c r="A50" s="19"/>
      <c r="B50" s="19" t="s">
        <v>416</v>
      </c>
      <c r="C50" s="19" t="s">
        <v>422</v>
      </c>
      <c r="D50" s="19">
        <v>3</v>
      </c>
      <c r="E50" s="19"/>
      <c r="F50" s="38">
        <f t="shared" si="5"/>
        <v>3</v>
      </c>
      <c r="G50" s="24"/>
      <c r="H50" s="48"/>
      <c r="I50" s="21" t="s">
        <v>399</v>
      </c>
      <c r="J50" s="19" t="s">
        <v>179</v>
      </c>
      <c r="K50" s="19"/>
      <c r="L50" s="27"/>
    </row>
    <row r="51" spans="1:12" x14ac:dyDescent="0.3">
      <c r="A51" s="19"/>
      <c r="B51" s="19" t="s">
        <v>417</v>
      </c>
      <c r="C51" s="19" t="s">
        <v>423</v>
      </c>
      <c r="D51" s="19">
        <v>2</v>
      </c>
      <c r="E51" s="19">
        <v>1</v>
      </c>
      <c r="F51" s="38">
        <f t="shared" si="5"/>
        <v>3</v>
      </c>
      <c r="G51" s="24"/>
      <c r="H51" s="48"/>
      <c r="I51" s="21" t="s">
        <v>399</v>
      </c>
      <c r="J51" s="19" t="s">
        <v>179</v>
      </c>
      <c r="K51" s="19"/>
      <c r="L51" s="27"/>
    </row>
    <row r="52" spans="1:12" x14ac:dyDescent="0.3">
      <c r="A52" s="19"/>
      <c r="B52" s="19" t="s">
        <v>384</v>
      </c>
      <c r="C52" s="19" t="s">
        <v>387</v>
      </c>
      <c r="D52" s="19">
        <v>2</v>
      </c>
      <c r="E52" s="19">
        <v>1</v>
      </c>
      <c r="F52" s="38">
        <f t="shared" si="5"/>
        <v>3</v>
      </c>
      <c r="G52" s="24"/>
      <c r="H52" s="48"/>
      <c r="I52" s="21" t="s">
        <v>365</v>
      </c>
      <c r="J52" s="19" t="s">
        <v>179</v>
      </c>
      <c r="K52" s="19"/>
      <c r="L52" s="27"/>
    </row>
    <row r="53" spans="1:12" s="17" customFormat="1" x14ac:dyDescent="0.3">
      <c r="A53" s="57" t="s">
        <v>73</v>
      </c>
      <c r="B53" s="57"/>
      <c r="C53" s="57"/>
      <c r="D53" s="30">
        <f>SUM(D47:D52)</f>
        <v>16</v>
      </c>
      <c r="E53" s="30">
        <v>2</v>
      </c>
      <c r="F53" s="30">
        <f>SUM(D53:E53)</f>
        <v>18</v>
      </c>
      <c r="G53" s="25"/>
      <c r="H53" s="49"/>
      <c r="I53" s="22"/>
      <c r="J53" s="30"/>
      <c r="K53" s="30"/>
      <c r="L53" s="28"/>
    </row>
    <row r="54" spans="1:12" x14ac:dyDescent="0.3">
      <c r="A54" s="19"/>
      <c r="B54" s="19"/>
      <c r="C54" s="19"/>
      <c r="D54" s="19"/>
      <c r="E54" s="19"/>
      <c r="F54" s="19"/>
      <c r="G54" s="24"/>
      <c r="H54" s="48" t="s">
        <v>85</v>
      </c>
      <c r="I54" s="21"/>
      <c r="J54" s="19"/>
      <c r="K54" s="19"/>
      <c r="L54" s="27"/>
    </row>
    <row r="55" spans="1:12" x14ac:dyDescent="0.3">
      <c r="A55" s="19"/>
      <c r="B55" s="19" t="s">
        <v>53</v>
      </c>
      <c r="C55" s="19" t="s">
        <v>126</v>
      </c>
      <c r="D55" s="19">
        <v>6</v>
      </c>
      <c r="E55" s="19"/>
      <c r="F55" s="38">
        <f t="shared" ref="F55" si="6">SUM(D55:E55)</f>
        <v>6</v>
      </c>
      <c r="G55" s="24"/>
      <c r="H55" s="48"/>
      <c r="I55" s="21" t="s">
        <v>92</v>
      </c>
      <c r="J55" s="19" t="s">
        <v>179</v>
      </c>
      <c r="K55" s="19"/>
      <c r="L55" s="27" t="s">
        <v>599</v>
      </c>
    </row>
    <row r="56" spans="1:12" s="17" customFormat="1" x14ac:dyDescent="0.3">
      <c r="A56" s="57" t="s">
        <v>73</v>
      </c>
      <c r="B56" s="57"/>
      <c r="C56" s="57"/>
      <c r="D56" s="30">
        <f>SUM(D55)</f>
        <v>6</v>
      </c>
      <c r="E56" s="30"/>
      <c r="F56" s="30"/>
      <c r="G56" s="25"/>
      <c r="H56" s="49"/>
      <c r="I56" s="22"/>
      <c r="J56" s="30"/>
      <c r="K56" s="30"/>
      <c r="L56" s="28"/>
    </row>
    <row r="57" spans="1:12" x14ac:dyDescent="0.3">
      <c r="A57" s="19"/>
      <c r="B57" s="19"/>
      <c r="C57" s="19"/>
      <c r="D57" s="19"/>
      <c r="E57" s="19"/>
      <c r="F57" s="19"/>
      <c r="G57" s="24" t="s">
        <v>158</v>
      </c>
      <c r="H57" s="48" t="s">
        <v>159</v>
      </c>
      <c r="I57" s="21"/>
      <c r="J57" s="19"/>
      <c r="K57" s="19"/>
      <c r="L57" s="27"/>
    </row>
    <row r="58" spans="1:12" x14ac:dyDescent="0.3">
      <c r="A58" s="19"/>
      <c r="B58" s="19" t="s">
        <v>54</v>
      </c>
      <c r="C58" s="19" t="s">
        <v>80</v>
      </c>
      <c r="D58" s="19">
        <v>3</v>
      </c>
      <c r="E58" s="19"/>
      <c r="F58" s="38">
        <f t="shared" ref="F58:F64" si="7">SUM(D58:E58)</f>
        <v>3</v>
      </c>
      <c r="G58" s="24"/>
      <c r="H58" s="48"/>
      <c r="I58" s="21" t="s">
        <v>92</v>
      </c>
      <c r="J58" s="19" t="s">
        <v>179</v>
      </c>
      <c r="K58" s="19"/>
      <c r="L58" s="27" t="s">
        <v>591</v>
      </c>
    </row>
    <row r="59" spans="1:12" x14ac:dyDescent="0.3">
      <c r="A59" s="19"/>
      <c r="B59" s="19" t="s">
        <v>55</v>
      </c>
      <c r="C59" s="19" t="s">
        <v>350</v>
      </c>
      <c r="D59" s="19">
        <v>3</v>
      </c>
      <c r="E59" s="19"/>
      <c r="F59" s="38">
        <f t="shared" si="7"/>
        <v>3</v>
      </c>
      <c r="G59" s="24"/>
      <c r="H59" s="48"/>
      <c r="I59" s="21" t="s">
        <v>92</v>
      </c>
      <c r="J59" s="19" t="s">
        <v>179</v>
      </c>
      <c r="K59" s="19"/>
      <c r="L59" s="27" t="s">
        <v>591</v>
      </c>
    </row>
    <row r="60" spans="1:12" x14ac:dyDescent="0.3">
      <c r="A60" s="19"/>
      <c r="B60" s="19" t="s">
        <v>424</v>
      </c>
      <c r="C60" s="19" t="s">
        <v>430</v>
      </c>
      <c r="D60" s="19">
        <v>3</v>
      </c>
      <c r="E60" s="19"/>
      <c r="F60" s="38">
        <f t="shared" si="7"/>
        <v>3</v>
      </c>
      <c r="G60" s="24"/>
      <c r="H60" s="48"/>
      <c r="I60" s="21" t="s">
        <v>399</v>
      </c>
      <c r="J60" s="19" t="s">
        <v>179</v>
      </c>
      <c r="K60" s="19"/>
      <c r="L60" s="27"/>
    </row>
    <row r="61" spans="1:12" x14ac:dyDescent="0.3">
      <c r="A61" s="19"/>
      <c r="B61" s="19" t="s">
        <v>425</v>
      </c>
      <c r="C61" s="19" t="s">
        <v>431</v>
      </c>
      <c r="D61" s="19">
        <v>2</v>
      </c>
      <c r="E61" s="19"/>
      <c r="F61" s="38">
        <f t="shared" si="7"/>
        <v>2</v>
      </c>
      <c r="G61" s="24"/>
      <c r="H61" s="48"/>
      <c r="I61" s="21" t="s">
        <v>399</v>
      </c>
      <c r="J61" s="19" t="s">
        <v>179</v>
      </c>
      <c r="K61" s="19"/>
      <c r="L61" s="27"/>
    </row>
    <row r="62" spans="1:12" x14ac:dyDescent="0.3">
      <c r="A62" s="19"/>
      <c r="B62" s="19" t="s">
        <v>390</v>
      </c>
      <c r="C62" s="19" t="s">
        <v>393</v>
      </c>
      <c r="D62" s="19">
        <v>2</v>
      </c>
      <c r="E62" s="19">
        <v>1</v>
      </c>
      <c r="F62" s="38">
        <f t="shared" si="7"/>
        <v>3</v>
      </c>
      <c r="G62" s="24"/>
      <c r="H62" s="48"/>
      <c r="I62" s="21" t="s">
        <v>365</v>
      </c>
      <c r="J62" s="19" t="s">
        <v>179</v>
      </c>
      <c r="K62" s="19"/>
      <c r="L62" s="27"/>
    </row>
    <row r="63" spans="1:12" x14ac:dyDescent="0.3">
      <c r="A63" s="19"/>
      <c r="B63" s="19" t="s">
        <v>24</v>
      </c>
      <c r="C63" s="19" t="s">
        <v>170</v>
      </c>
      <c r="D63" s="19">
        <v>1</v>
      </c>
      <c r="E63" s="19"/>
      <c r="F63" s="38">
        <f t="shared" si="7"/>
        <v>1</v>
      </c>
      <c r="G63" s="24"/>
      <c r="H63" s="48"/>
      <c r="I63" s="21" t="s">
        <v>102</v>
      </c>
      <c r="J63" s="19" t="s">
        <v>179</v>
      </c>
      <c r="K63" s="19"/>
      <c r="L63" s="27"/>
    </row>
    <row r="64" spans="1:12" x14ac:dyDescent="0.3">
      <c r="A64" s="19"/>
      <c r="B64" s="19" t="s">
        <v>62</v>
      </c>
      <c r="C64" s="19" t="s">
        <v>71</v>
      </c>
      <c r="D64" s="19">
        <v>3</v>
      </c>
      <c r="E64" s="19"/>
      <c r="F64" s="38">
        <f t="shared" si="7"/>
        <v>3</v>
      </c>
      <c r="G64" s="24"/>
      <c r="H64" s="48"/>
      <c r="I64" s="21" t="s">
        <v>92</v>
      </c>
      <c r="J64" s="19" t="s">
        <v>179</v>
      </c>
      <c r="K64" s="19"/>
      <c r="L64" s="27" t="s">
        <v>591</v>
      </c>
    </row>
    <row r="65" spans="1:12" s="17" customFormat="1" x14ac:dyDescent="0.3">
      <c r="A65" s="57" t="s">
        <v>73</v>
      </c>
      <c r="B65" s="57"/>
      <c r="C65" s="57"/>
      <c r="D65" s="30">
        <f>SUM(D58:D64)</f>
        <v>17</v>
      </c>
      <c r="E65" s="30">
        <v>1</v>
      </c>
      <c r="F65" s="30">
        <f>SUM(D65:E65)</f>
        <v>18</v>
      </c>
      <c r="G65" s="25"/>
      <c r="H65" s="49"/>
      <c r="I65" s="22"/>
      <c r="J65" s="30"/>
      <c r="K65" s="30"/>
      <c r="L65" s="28"/>
    </row>
    <row r="66" spans="1:12" x14ac:dyDescent="0.3">
      <c r="A66" s="19"/>
      <c r="B66" s="19"/>
      <c r="C66" s="19"/>
      <c r="D66" s="19"/>
      <c r="E66" s="19"/>
      <c r="F66" s="19"/>
      <c r="G66" s="24"/>
      <c r="H66" s="48" t="s">
        <v>81</v>
      </c>
      <c r="I66" s="21"/>
      <c r="J66" s="19"/>
      <c r="K66" s="19"/>
      <c r="L66" s="27"/>
    </row>
    <row r="67" spans="1:12" x14ac:dyDescent="0.3">
      <c r="A67" s="19"/>
      <c r="B67" s="19" t="s">
        <v>61</v>
      </c>
      <c r="C67" s="19" t="s">
        <v>72</v>
      </c>
      <c r="D67" s="19">
        <v>2</v>
      </c>
      <c r="E67" s="19"/>
      <c r="F67" s="38">
        <f t="shared" ref="F67:F72" si="8">SUM(D67:E67)</f>
        <v>2</v>
      </c>
      <c r="G67" s="24"/>
      <c r="H67" s="48"/>
      <c r="I67" s="21" t="s">
        <v>92</v>
      </c>
      <c r="J67" s="19" t="s">
        <v>179</v>
      </c>
      <c r="K67" s="19"/>
      <c r="L67" s="27" t="s">
        <v>591</v>
      </c>
    </row>
    <row r="68" spans="1:12" x14ac:dyDescent="0.3">
      <c r="A68" s="19"/>
      <c r="B68" s="19" t="s">
        <v>426</v>
      </c>
      <c r="C68" s="19" t="s">
        <v>429</v>
      </c>
      <c r="D68" s="19">
        <v>2</v>
      </c>
      <c r="E68" s="19">
        <v>1</v>
      </c>
      <c r="F68" s="38">
        <f t="shared" si="8"/>
        <v>3</v>
      </c>
      <c r="G68" s="24"/>
      <c r="H68" s="48"/>
      <c r="I68" s="21" t="s">
        <v>399</v>
      </c>
      <c r="J68" s="19" t="s">
        <v>179</v>
      </c>
      <c r="K68" s="19"/>
      <c r="L68" s="27"/>
    </row>
    <row r="69" spans="1:12" x14ac:dyDescent="0.3">
      <c r="A69" s="19"/>
      <c r="B69" s="19" t="s">
        <v>427</v>
      </c>
      <c r="C69" s="19" t="s">
        <v>428</v>
      </c>
      <c r="D69" s="19">
        <v>3</v>
      </c>
      <c r="E69" s="19"/>
      <c r="F69" s="38">
        <f t="shared" si="8"/>
        <v>3</v>
      </c>
      <c r="G69" s="24"/>
      <c r="H69" s="48"/>
      <c r="I69" s="21" t="s">
        <v>399</v>
      </c>
      <c r="J69" s="19" t="s">
        <v>179</v>
      </c>
      <c r="K69" s="19"/>
      <c r="L69" s="27"/>
    </row>
    <row r="70" spans="1:12" x14ac:dyDescent="0.3">
      <c r="A70" s="19"/>
      <c r="B70" s="19" t="s">
        <v>391</v>
      </c>
      <c r="C70" s="19" t="s">
        <v>392</v>
      </c>
      <c r="D70" s="19">
        <v>4</v>
      </c>
      <c r="E70" s="19"/>
      <c r="F70" s="38">
        <f t="shared" si="8"/>
        <v>4</v>
      </c>
      <c r="G70" s="24"/>
      <c r="H70" s="48"/>
      <c r="I70" s="21" t="s">
        <v>365</v>
      </c>
      <c r="J70" s="19" t="s">
        <v>179</v>
      </c>
      <c r="K70" s="19"/>
      <c r="L70" s="27"/>
    </row>
    <row r="71" spans="1:12" x14ac:dyDescent="0.3">
      <c r="A71" s="19"/>
      <c r="B71" s="19" t="s">
        <v>37</v>
      </c>
      <c r="C71" s="19" t="s">
        <v>115</v>
      </c>
      <c r="D71" s="19">
        <v>3</v>
      </c>
      <c r="E71" s="19"/>
      <c r="F71" s="38">
        <f t="shared" si="8"/>
        <v>3</v>
      </c>
      <c r="G71" s="24"/>
      <c r="H71" s="48"/>
      <c r="I71" s="21" t="s">
        <v>102</v>
      </c>
      <c r="J71" s="19" t="s">
        <v>179</v>
      </c>
      <c r="K71" s="19"/>
      <c r="L71" s="27"/>
    </row>
    <row r="72" spans="1:12" x14ac:dyDescent="0.3">
      <c r="A72" s="19"/>
      <c r="B72" s="19" t="s">
        <v>385</v>
      </c>
      <c r="C72" s="19" t="s">
        <v>388</v>
      </c>
      <c r="D72" s="19">
        <v>2</v>
      </c>
      <c r="E72" s="19">
        <v>1</v>
      </c>
      <c r="F72" s="38">
        <f t="shared" si="8"/>
        <v>3</v>
      </c>
      <c r="G72" s="24"/>
      <c r="H72" s="48"/>
      <c r="I72" s="21" t="s">
        <v>365</v>
      </c>
      <c r="J72" s="19" t="s">
        <v>179</v>
      </c>
      <c r="K72" s="19"/>
      <c r="L72" s="27"/>
    </row>
    <row r="73" spans="1:12" s="17" customFormat="1" x14ac:dyDescent="0.3">
      <c r="A73" s="57" t="s">
        <v>73</v>
      </c>
      <c r="B73" s="57"/>
      <c r="C73" s="57"/>
      <c r="D73" s="30">
        <f>SUM(D67:D72)</f>
        <v>16</v>
      </c>
      <c r="E73" s="30">
        <v>2</v>
      </c>
      <c r="F73" s="30">
        <f>SUM(D73:E73)</f>
        <v>18</v>
      </c>
      <c r="G73" s="25"/>
      <c r="H73" s="49"/>
      <c r="I73" s="22"/>
      <c r="J73" s="30"/>
      <c r="K73" s="30"/>
      <c r="L73" s="28"/>
    </row>
    <row r="75" spans="1:12" x14ac:dyDescent="0.3">
      <c r="B75" s="38" t="s">
        <v>603</v>
      </c>
    </row>
    <row r="76" spans="1:12" x14ac:dyDescent="0.3">
      <c r="A76" s="38" t="s">
        <v>608</v>
      </c>
      <c r="B76" s="38">
        <f>SUMIF(I2:I72,I71,F2:F72)</f>
        <v>11</v>
      </c>
    </row>
    <row r="77" spans="1:12" x14ac:dyDescent="0.3">
      <c r="A77" s="38" t="s">
        <v>627</v>
      </c>
      <c r="B77" s="38">
        <f>SUMIF(I2:I72,I69,F2:F72)</f>
        <v>42</v>
      </c>
    </row>
    <row r="78" spans="1:12" x14ac:dyDescent="0.3">
      <c r="A78" s="38" t="s">
        <v>365</v>
      </c>
      <c r="B78" s="38">
        <f>SUMIF(I2:I72,I70,F2:F72)</f>
        <v>41</v>
      </c>
    </row>
    <row r="79" spans="1:12" x14ac:dyDescent="0.3">
      <c r="A79" s="38" t="s">
        <v>92</v>
      </c>
      <c r="B79" s="38">
        <f>SUMIF(I2:I72,I67,F2:F72)</f>
        <v>55</v>
      </c>
    </row>
    <row r="80" spans="1:12" x14ac:dyDescent="0.3">
      <c r="A80" s="38" t="s">
        <v>610</v>
      </c>
      <c r="B80" s="38">
        <f>SUM(B76:B79)</f>
        <v>149</v>
      </c>
    </row>
    <row r="81" spans="1:2" x14ac:dyDescent="0.3">
      <c r="A81" s="38"/>
      <c r="B81" s="38"/>
    </row>
    <row r="82" spans="1:2" x14ac:dyDescent="0.3">
      <c r="A82" s="38"/>
      <c r="B82" s="38"/>
    </row>
    <row r="83" spans="1:2" x14ac:dyDescent="0.3">
      <c r="A83" s="38" t="s">
        <v>604</v>
      </c>
      <c r="B83" s="38"/>
    </row>
    <row r="84" spans="1:2" x14ac:dyDescent="0.3">
      <c r="A84" s="38" t="s">
        <v>605</v>
      </c>
      <c r="B84" s="38" t="s">
        <v>606</v>
      </c>
    </row>
    <row r="85" spans="1:2" x14ac:dyDescent="0.3">
      <c r="A85" s="38" t="s">
        <v>607</v>
      </c>
      <c r="B85" s="38" t="s">
        <v>606</v>
      </c>
    </row>
  </sheetData>
  <mergeCells count="11">
    <mergeCell ref="A73:C73"/>
    <mergeCell ref="D1:F1"/>
    <mergeCell ref="A53:C53"/>
    <mergeCell ref="A56:C56"/>
    <mergeCell ref="A65:C65"/>
    <mergeCell ref="D2:F2"/>
    <mergeCell ref="A11:C11"/>
    <mergeCell ref="A20:C20"/>
    <mergeCell ref="A29:C29"/>
    <mergeCell ref="A37:C37"/>
    <mergeCell ref="A45:C4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"/>
  <sheetViews>
    <sheetView topLeftCell="A76" workbookViewId="0">
      <selection activeCell="I102" sqref="I102"/>
    </sheetView>
  </sheetViews>
  <sheetFormatPr defaultRowHeight="14.4" x14ac:dyDescent="0.3"/>
  <cols>
    <col min="2" max="2" width="12.109375" bestFit="1" customWidth="1"/>
    <col min="3" max="3" width="51.5546875" bestFit="1" customWidth="1"/>
    <col min="4" max="4" width="8.33203125" customWidth="1"/>
    <col min="5" max="5" width="9.109375" customWidth="1"/>
    <col min="6" max="6" width="11.5546875" customWidth="1"/>
    <col min="7" max="7" width="10.33203125" style="1" bestFit="1" customWidth="1"/>
    <col min="8" max="8" width="14.88671875" style="2" bestFit="1" customWidth="1"/>
    <col min="9" max="9" width="30.44140625" style="3" bestFit="1" customWidth="1"/>
    <col min="10" max="10" width="39.109375" bestFit="1" customWidth="1"/>
    <col min="11" max="11" width="5.6640625" bestFit="1" customWidth="1"/>
    <col min="12" max="12" width="158.88671875" style="2" bestFit="1" customWidth="1"/>
  </cols>
  <sheetData>
    <row r="1" spans="1:12" x14ac:dyDescent="0.3">
      <c r="A1" s="11" t="s">
        <v>0</v>
      </c>
      <c r="B1" s="11" t="s">
        <v>1</v>
      </c>
      <c r="C1" s="11" t="s">
        <v>2</v>
      </c>
      <c r="D1" s="59" t="s">
        <v>3</v>
      </c>
      <c r="E1" s="59"/>
      <c r="F1" s="59"/>
      <c r="G1" s="12" t="s">
        <v>4</v>
      </c>
      <c r="H1" s="13" t="s">
        <v>5</v>
      </c>
      <c r="I1" s="14" t="s">
        <v>6</v>
      </c>
      <c r="J1" s="11" t="s">
        <v>7</v>
      </c>
      <c r="K1" s="11" t="s">
        <v>8</v>
      </c>
      <c r="L1" s="13" t="s">
        <v>9</v>
      </c>
    </row>
    <row r="2" spans="1:12" x14ac:dyDescent="0.3">
      <c r="A2" s="11" t="s">
        <v>553</v>
      </c>
      <c r="B2" s="11" t="s">
        <v>10</v>
      </c>
      <c r="C2" s="11" t="s">
        <v>11</v>
      </c>
      <c r="D2" s="59" t="s">
        <v>12</v>
      </c>
      <c r="E2" s="59"/>
      <c r="F2" s="59"/>
      <c r="G2" s="12" t="s">
        <v>13</v>
      </c>
      <c r="H2" s="13" t="s">
        <v>14</v>
      </c>
      <c r="I2" s="14"/>
      <c r="J2" s="11"/>
      <c r="K2" s="11"/>
      <c r="L2" s="13"/>
    </row>
    <row r="3" spans="1:12" x14ac:dyDescent="0.3">
      <c r="A3" s="11"/>
      <c r="B3" s="11"/>
      <c r="C3" s="11"/>
      <c r="D3" s="11" t="s">
        <v>282</v>
      </c>
      <c r="E3" s="11" t="s">
        <v>283</v>
      </c>
      <c r="F3" s="11" t="s">
        <v>284</v>
      </c>
      <c r="G3" s="12"/>
      <c r="H3" s="13"/>
      <c r="I3" s="14"/>
      <c r="J3" s="11"/>
      <c r="K3" s="11"/>
      <c r="L3" s="13"/>
    </row>
    <row r="4" spans="1:12" x14ac:dyDescent="0.3">
      <c r="A4" s="19"/>
      <c r="B4" s="19" t="s">
        <v>16</v>
      </c>
      <c r="C4" s="19" t="s">
        <v>87</v>
      </c>
      <c r="D4" s="19">
        <v>3</v>
      </c>
      <c r="E4" s="19"/>
      <c r="F4" s="19">
        <f>SUM(D4:E4)</f>
        <v>3</v>
      </c>
      <c r="G4" s="24"/>
      <c r="H4" s="27"/>
      <c r="I4" s="21" t="s">
        <v>92</v>
      </c>
      <c r="J4" s="19" t="s">
        <v>179</v>
      </c>
      <c r="K4" s="19"/>
      <c r="L4" s="27"/>
    </row>
    <row r="5" spans="1:12" x14ac:dyDescent="0.3">
      <c r="A5" s="19"/>
      <c r="B5" s="19" t="s">
        <v>29</v>
      </c>
      <c r="C5" s="19" t="s">
        <v>89</v>
      </c>
      <c r="D5" s="19">
        <v>2</v>
      </c>
      <c r="E5" s="19"/>
      <c r="F5" s="38">
        <f t="shared" ref="F5:F10" si="0">SUM(D5:E5)</f>
        <v>2</v>
      </c>
      <c r="G5" s="24"/>
      <c r="H5" s="27"/>
      <c r="I5" s="21" t="s">
        <v>92</v>
      </c>
      <c r="J5" s="19" t="s">
        <v>179</v>
      </c>
      <c r="K5" s="19"/>
      <c r="L5" s="27"/>
    </row>
    <row r="6" spans="1:12" x14ac:dyDescent="0.3">
      <c r="A6" s="19"/>
      <c r="B6" s="19" t="s">
        <v>17</v>
      </c>
      <c r="C6" s="19" t="s">
        <v>88</v>
      </c>
      <c r="D6" s="19">
        <v>3</v>
      </c>
      <c r="E6" s="19"/>
      <c r="F6" s="38">
        <f t="shared" si="0"/>
        <v>3</v>
      </c>
      <c r="G6" s="24"/>
      <c r="H6" s="27"/>
      <c r="I6" s="21" t="s">
        <v>102</v>
      </c>
      <c r="J6" s="19" t="s">
        <v>179</v>
      </c>
      <c r="K6" s="19"/>
      <c r="L6" s="27"/>
    </row>
    <row r="7" spans="1:12" x14ac:dyDescent="0.3">
      <c r="A7" s="19"/>
      <c r="B7" s="19" t="s">
        <v>285</v>
      </c>
      <c r="C7" s="19" t="s">
        <v>290</v>
      </c>
      <c r="D7" s="19">
        <v>2</v>
      </c>
      <c r="E7" s="19">
        <v>1</v>
      </c>
      <c r="F7" s="38">
        <f t="shared" si="0"/>
        <v>3</v>
      </c>
      <c r="G7" s="24"/>
      <c r="H7" s="27"/>
      <c r="I7" s="21" t="s">
        <v>295</v>
      </c>
      <c r="J7" s="19" t="s">
        <v>179</v>
      </c>
      <c r="K7" s="19"/>
      <c r="L7" s="27"/>
    </row>
    <row r="8" spans="1:12" x14ac:dyDescent="0.3">
      <c r="A8" s="19"/>
      <c r="B8" s="19" t="s">
        <v>286</v>
      </c>
      <c r="C8" s="19" t="s">
        <v>291</v>
      </c>
      <c r="D8" s="19">
        <v>2</v>
      </c>
      <c r="E8" s="19">
        <v>1</v>
      </c>
      <c r="F8" s="38">
        <f t="shared" si="0"/>
        <v>3</v>
      </c>
      <c r="G8" s="24"/>
      <c r="H8" s="27"/>
      <c r="I8" s="21" t="s">
        <v>295</v>
      </c>
      <c r="J8" s="19" t="s">
        <v>179</v>
      </c>
      <c r="K8" s="19"/>
      <c r="L8" s="27"/>
    </row>
    <row r="9" spans="1:12" x14ac:dyDescent="0.3">
      <c r="A9" s="19"/>
      <c r="B9" s="19" t="s">
        <v>395</v>
      </c>
      <c r="C9" s="19" t="s">
        <v>397</v>
      </c>
      <c r="D9" s="19">
        <v>1</v>
      </c>
      <c r="E9" s="19"/>
      <c r="F9" s="38">
        <f t="shared" si="0"/>
        <v>1</v>
      </c>
      <c r="G9" s="24"/>
      <c r="H9" s="27"/>
      <c r="I9" s="21" t="s">
        <v>399</v>
      </c>
      <c r="J9" s="19" t="s">
        <v>179</v>
      </c>
      <c r="K9" s="19"/>
      <c r="L9" s="27"/>
    </row>
    <row r="10" spans="1:12" x14ac:dyDescent="0.3">
      <c r="A10" s="19"/>
      <c r="B10" s="19" t="s">
        <v>396</v>
      </c>
      <c r="C10" s="19" t="s">
        <v>398</v>
      </c>
      <c r="D10" s="19">
        <v>2</v>
      </c>
      <c r="E10" s="19">
        <v>1</v>
      </c>
      <c r="F10" s="38">
        <f t="shared" si="0"/>
        <v>3</v>
      </c>
      <c r="G10" s="24"/>
      <c r="H10" s="27"/>
      <c r="I10" s="21" t="s">
        <v>399</v>
      </c>
      <c r="J10" s="19" t="s">
        <v>179</v>
      </c>
      <c r="K10" s="19"/>
      <c r="L10" s="27"/>
    </row>
    <row r="11" spans="1:12" s="17" customFormat="1" x14ac:dyDescent="0.3">
      <c r="A11" s="57" t="s">
        <v>73</v>
      </c>
      <c r="B11" s="57"/>
      <c r="C11" s="57"/>
      <c r="D11" s="30">
        <f>SUM(D4:D10)</f>
        <v>15</v>
      </c>
      <c r="E11" s="30">
        <v>3</v>
      </c>
      <c r="F11" s="30">
        <f>SUM(D11:E11)</f>
        <v>18</v>
      </c>
      <c r="G11" s="25"/>
      <c r="H11" s="28"/>
      <c r="I11" s="22"/>
      <c r="J11" s="30"/>
      <c r="K11" s="30"/>
      <c r="L11" s="28"/>
    </row>
    <row r="12" spans="1:12" x14ac:dyDescent="0.3">
      <c r="A12" s="19"/>
      <c r="B12" s="19"/>
      <c r="C12" s="19"/>
      <c r="D12" s="19"/>
      <c r="E12" s="19"/>
      <c r="F12" s="19"/>
      <c r="G12" s="24"/>
      <c r="H12" s="27" t="s">
        <v>81</v>
      </c>
      <c r="I12" s="21"/>
      <c r="J12" s="19"/>
      <c r="K12" s="19"/>
      <c r="L12" s="27"/>
    </row>
    <row r="13" spans="1:12" x14ac:dyDescent="0.3">
      <c r="A13" s="19"/>
      <c r="B13" s="19" t="s">
        <v>22</v>
      </c>
      <c r="C13" s="19" t="s">
        <v>95</v>
      </c>
      <c r="D13" s="19">
        <v>2</v>
      </c>
      <c r="E13" s="19"/>
      <c r="F13" s="38">
        <f t="shared" ref="F13:F19" si="1">SUM(D13:E13)</f>
        <v>2</v>
      </c>
      <c r="G13" s="24"/>
      <c r="H13" s="27"/>
      <c r="I13" s="21" t="s">
        <v>92</v>
      </c>
      <c r="J13" s="19" t="s">
        <v>179</v>
      </c>
      <c r="K13" s="19"/>
      <c r="L13" s="27"/>
    </row>
    <row r="14" spans="1:12" x14ac:dyDescent="0.3">
      <c r="A14" s="19"/>
      <c r="B14" s="19" t="s">
        <v>23</v>
      </c>
      <c r="C14" s="19" t="s">
        <v>96</v>
      </c>
      <c r="D14" s="19">
        <v>2</v>
      </c>
      <c r="E14" s="19"/>
      <c r="F14" s="38">
        <f t="shared" si="1"/>
        <v>2</v>
      </c>
      <c r="G14" s="24"/>
      <c r="H14" s="27"/>
      <c r="I14" s="21" t="s">
        <v>92</v>
      </c>
      <c r="J14" s="19" t="s">
        <v>179</v>
      </c>
      <c r="K14" s="19"/>
      <c r="L14" s="27" t="s">
        <v>592</v>
      </c>
    </row>
    <row r="15" spans="1:12" x14ac:dyDescent="0.3">
      <c r="A15" s="19"/>
      <c r="B15" s="19" t="s">
        <v>25</v>
      </c>
      <c r="C15" s="19" t="s">
        <v>171</v>
      </c>
      <c r="D15" s="19">
        <v>2</v>
      </c>
      <c r="E15" s="19"/>
      <c r="F15" s="38">
        <f t="shared" si="1"/>
        <v>2</v>
      </c>
      <c r="G15" s="24"/>
      <c r="H15" s="27"/>
      <c r="I15" s="21" t="s">
        <v>102</v>
      </c>
      <c r="J15" s="19" t="s">
        <v>179</v>
      </c>
      <c r="K15" s="19"/>
      <c r="L15" s="27"/>
    </row>
    <row r="16" spans="1:12" x14ac:dyDescent="0.3">
      <c r="A16" s="19"/>
      <c r="B16" s="19" t="s">
        <v>297</v>
      </c>
      <c r="C16" s="19" t="s">
        <v>301</v>
      </c>
      <c r="D16" s="19">
        <v>2</v>
      </c>
      <c r="E16" s="19">
        <v>1</v>
      </c>
      <c r="F16" s="38">
        <f t="shared" si="1"/>
        <v>3</v>
      </c>
      <c r="G16" s="24"/>
      <c r="H16" s="27"/>
      <c r="I16" s="21" t="s">
        <v>295</v>
      </c>
      <c r="J16" s="19" t="s">
        <v>179</v>
      </c>
      <c r="K16" s="19"/>
      <c r="L16" s="27"/>
    </row>
    <row r="17" spans="1:12" x14ac:dyDescent="0.3">
      <c r="A17" s="19"/>
      <c r="B17" s="19" t="s">
        <v>438</v>
      </c>
      <c r="C17" s="19" t="s">
        <v>302</v>
      </c>
      <c r="D17" s="19">
        <v>2</v>
      </c>
      <c r="E17" s="19">
        <v>1</v>
      </c>
      <c r="F17" s="38">
        <f t="shared" si="1"/>
        <v>3</v>
      </c>
      <c r="G17" s="24"/>
      <c r="H17" s="27"/>
      <c r="I17" s="21" t="s">
        <v>295</v>
      </c>
      <c r="J17" s="19" t="s">
        <v>179</v>
      </c>
      <c r="K17" s="19"/>
      <c r="L17" s="27"/>
    </row>
    <row r="18" spans="1:12" x14ac:dyDescent="0.3">
      <c r="A18" s="19"/>
      <c r="B18" s="19" t="s">
        <v>400</v>
      </c>
      <c r="C18" s="19" t="s">
        <v>402</v>
      </c>
      <c r="D18" s="19">
        <v>2</v>
      </c>
      <c r="E18" s="19">
        <v>1</v>
      </c>
      <c r="F18" s="38">
        <f t="shared" si="1"/>
        <v>3</v>
      </c>
      <c r="G18" s="24"/>
      <c r="H18" s="27"/>
      <c r="I18" s="21" t="s">
        <v>399</v>
      </c>
      <c r="J18" s="19" t="s">
        <v>179</v>
      </c>
      <c r="K18" s="19"/>
      <c r="L18" s="27"/>
    </row>
    <row r="19" spans="1:12" x14ac:dyDescent="0.3">
      <c r="A19" s="19"/>
      <c r="B19" s="19" t="s">
        <v>401</v>
      </c>
      <c r="C19" s="19" t="s">
        <v>403</v>
      </c>
      <c r="D19" s="19">
        <v>3</v>
      </c>
      <c r="E19" s="19"/>
      <c r="F19" s="38">
        <f t="shared" si="1"/>
        <v>3</v>
      </c>
      <c r="G19" s="24"/>
      <c r="H19" s="27"/>
      <c r="I19" s="21" t="s">
        <v>399</v>
      </c>
      <c r="J19" s="19" t="s">
        <v>179</v>
      </c>
      <c r="K19" s="19"/>
      <c r="L19" s="27"/>
    </row>
    <row r="20" spans="1:12" s="17" customFormat="1" x14ac:dyDescent="0.3">
      <c r="A20" s="57" t="s">
        <v>73</v>
      </c>
      <c r="B20" s="57"/>
      <c r="C20" s="57"/>
      <c r="D20" s="30">
        <f>SUM(D13:D19)</f>
        <v>15</v>
      </c>
      <c r="E20" s="30">
        <v>3</v>
      </c>
      <c r="F20" s="30">
        <f>SUM(D20:E20)</f>
        <v>18</v>
      </c>
      <c r="G20" s="25"/>
      <c r="H20" s="28"/>
      <c r="I20" s="22"/>
      <c r="J20" s="30"/>
      <c r="K20" s="30"/>
      <c r="L20" s="28"/>
    </row>
    <row r="21" spans="1:12" x14ac:dyDescent="0.3">
      <c r="A21" s="19"/>
      <c r="B21" s="19"/>
      <c r="C21" s="19"/>
      <c r="D21" s="19"/>
      <c r="E21" s="19"/>
      <c r="F21" s="19"/>
      <c r="G21" s="24" t="s">
        <v>83</v>
      </c>
      <c r="H21" s="27" t="s">
        <v>159</v>
      </c>
      <c r="I21" s="21"/>
      <c r="J21" s="19"/>
      <c r="K21" s="19"/>
      <c r="L21" s="27"/>
    </row>
    <row r="22" spans="1:12" x14ac:dyDescent="0.3">
      <c r="A22" s="19"/>
      <c r="B22" s="19" t="s">
        <v>30</v>
      </c>
      <c r="C22" s="19" t="s">
        <v>103</v>
      </c>
      <c r="D22" s="19">
        <v>3</v>
      </c>
      <c r="E22" s="19"/>
      <c r="F22" s="38">
        <f t="shared" ref="F22:F28" si="2">SUM(D22:E22)</f>
        <v>3</v>
      </c>
      <c r="G22" s="24"/>
      <c r="H22" s="27"/>
      <c r="I22" s="21" t="s">
        <v>92</v>
      </c>
      <c r="J22" s="19" t="s">
        <v>179</v>
      </c>
      <c r="K22" s="19"/>
      <c r="L22" s="27" t="s">
        <v>594</v>
      </c>
    </row>
    <row r="23" spans="1:12" x14ac:dyDescent="0.3">
      <c r="A23" s="19"/>
      <c r="B23" s="19" t="s">
        <v>31</v>
      </c>
      <c r="C23" s="19" t="s">
        <v>312</v>
      </c>
      <c r="D23" s="19">
        <v>3</v>
      </c>
      <c r="E23" s="19"/>
      <c r="F23" s="38">
        <f t="shared" si="2"/>
        <v>3</v>
      </c>
      <c r="G23" s="24"/>
      <c r="H23" s="27"/>
      <c r="I23" s="21" t="s">
        <v>92</v>
      </c>
      <c r="J23" s="19" t="s">
        <v>179</v>
      </c>
      <c r="K23" s="19"/>
      <c r="L23" s="27"/>
    </row>
    <row r="24" spans="1:12" x14ac:dyDescent="0.3">
      <c r="A24" s="19"/>
      <c r="B24" s="19" t="s">
        <v>58</v>
      </c>
      <c r="C24" s="19" t="s">
        <v>324</v>
      </c>
      <c r="D24" s="19">
        <v>2</v>
      </c>
      <c r="E24" s="19"/>
      <c r="F24" s="38">
        <f t="shared" si="2"/>
        <v>2</v>
      </c>
      <c r="G24" s="24"/>
      <c r="H24" s="27"/>
      <c r="I24" s="21" t="s">
        <v>92</v>
      </c>
      <c r="J24" s="19" t="s">
        <v>179</v>
      </c>
      <c r="K24" s="19"/>
      <c r="L24" s="27"/>
    </row>
    <row r="25" spans="1:12" x14ac:dyDescent="0.3">
      <c r="A25" s="19"/>
      <c r="B25" s="19" t="s">
        <v>305</v>
      </c>
      <c r="C25" s="19" t="s">
        <v>313</v>
      </c>
      <c r="D25" s="19">
        <v>2</v>
      </c>
      <c r="E25" s="19">
        <v>1</v>
      </c>
      <c r="F25" s="38">
        <f t="shared" si="2"/>
        <v>3</v>
      </c>
      <c r="G25" s="24"/>
      <c r="H25" s="27"/>
      <c r="I25" s="21" t="s">
        <v>295</v>
      </c>
      <c r="J25" s="19" t="s">
        <v>179</v>
      </c>
      <c r="K25" s="19"/>
      <c r="L25" s="27"/>
    </row>
    <row r="26" spans="1:12" x14ac:dyDescent="0.3">
      <c r="A26" s="19"/>
      <c r="B26" s="19" t="s">
        <v>306</v>
      </c>
      <c r="C26" s="19" t="s">
        <v>314</v>
      </c>
      <c r="D26" s="19">
        <v>3</v>
      </c>
      <c r="E26" s="19"/>
      <c r="F26" s="38">
        <f t="shared" si="2"/>
        <v>3</v>
      </c>
      <c r="G26" s="24"/>
      <c r="H26" s="27"/>
      <c r="I26" s="21" t="s">
        <v>295</v>
      </c>
      <c r="J26" s="19" t="s">
        <v>179</v>
      </c>
      <c r="K26" s="19"/>
      <c r="L26" s="27"/>
    </row>
    <row r="27" spans="1:12" x14ac:dyDescent="0.3">
      <c r="A27" s="19"/>
      <c r="B27" s="19" t="s">
        <v>404</v>
      </c>
      <c r="C27" s="19" t="s">
        <v>407</v>
      </c>
      <c r="D27" s="19">
        <v>1</v>
      </c>
      <c r="E27" s="19"/>
      <c r="F27" s="38">
        <f t="shared" si="2"/>
        <v>1</v>
      </c>
      <c r="G27" s="24"/>
      <c r="H27" s="27"/>
      <c r="I27" s="21" t="s">
        <v>399</v>
      </c>
      <c r="J27" s="19" t="s">
        <v>179</v>
      </c>
      <c r="K27" s="19"/>
      <c r="L27" s="27"/>
    </row>
    <row r="28" spans="1:12" x14ac:dyDescent="0.3">
      <c r="A28" s="19"/>
      <c r="B28" s="19" t="s">
        <v>405</v>
      </c>
      <c r="C28" s="19" t="s">
        <v>408</v>
      </c>
      <c r="D28" s="19">
        <v>3</v>
      </c>
      <c r="E28" s="19"/>
      <c r="F28" s="38">
        <f t="shared" si="2"/>
        <v>3</v>
      </c>
      <c r="G28" s="24"/>
      <c r="H28" s="27"/>
      <c r="I28" s="21" t="s">
        <v>399</v>
      </c>
      <c r="J28" s="19" t="s">
        <v>179</v>
      </c>
      <c r="K28" s="19"/>
      <c r="L28" s="27"/>
    </row>
    <row r="29" spans="1:12" s="17" customFormat="1" x14ac:dyDescent="0.3">
      <c r="A29" s="57" t="s">
        <v>73</v>
      </c>
      <c r="B29" s="57"/>
      <c r="C29" s="57"/>
      <c r="D29" s="30">
        <f>SUM(D22:D28)</f>
        <v>17</v>
      </c>
      <c r="E29" s="30">
        <v>1</v>
      </c>
      <c r="F29" s="30">
        <f>SUM(D29:E29)</f>
        <v>18</v>
      </c>
      <c r="G29" s="25"/>
      <c r="H29" s="28"/>
      <c r="I29" s="22"/>
      <c r="J29" s="30"/>
      <c r="K29" s="30"/>
      <c r="L29" s="28"/>
    </row>
    <row r="30" spans="1:12" x14ac:dyDescent="0.3">
      <c r="A30" s="19"/>
      <c r="B30" s="19"/>
      <c r="C30" s="19"/>
      <c r="D30" s="19"/>
      <c r="E30" s="19"/>
      <c r="F30" s="19"/>
      <c r="G30" s="24"/>
      <c r="H30" s="27" t="s">
        <v>81</v>
      </c>
      <c r="I30" s="21"/>
      <c r="J30" s="19"/>
      <c r="K30" s="19"/>
      <c r="L30" s="27"/>
    </row>
    <row r="31" spans="1:12" x14ac:dyDescent="0.3">
      <c r="A31" s="19"/>
      <c r="B31" s="19" t="s">
        <v>35</v>
      </c>
      <c r="C31" s="19" t="s">
        <v>110</v>
      </c>
      <c r="D31" s="19">
        <v>3</v>
      </c>
      <c r="E31" s="19"/>
      <c r="F31" s="38">
        <f t="shared" ref="F31:F36" si="3">SUM(D31:E31)</f>
        <v>3</v>
      </c>
      <c r="G31" s="24"/>
      <c r="H31" s="27"/>
      <c r="I31" s="21" t="s">
        <v>92</v>
      </c>
      <c r="J31" s="19" t="s">
        <v>179</v>
      </c>
      <c r="K31" s="19"/>
      <c r="L31" s="27" t="s">
        <v>595</v>
      </c>
    </row>
    <row r="32" spans="1:12" x14ac:dyDescent="0.3">
      <c r="A32" s="19"/>
      <c r="B32" s="19" t="s">
        <v>36</v>
      </c>
      <c r="C32" s="19" t="s">
        <v>316</v>
      </c>
      <c r="D32" s="19">
        <v>3</v>
      </c>
      <c r="E32" s="19"/>
      <c r="F32" s="38">
        <f t="shared" si="3"/>
        <v>3</v>
      </c>
      <c r="G32" s="24"/>
      <c r="H32" s="27"/>
      <c r="I32" s="21" t="s">
        <v>92</v>
      </c>
      <c r="J32" s="19" t="s">
        <v>179</v>
      </c>
      <c r="K32" s="19"/>
      <c r="L32" s="27"/>
    </row>
    <row r="33" spans="1:12" x14ac:dyDescent="0.3">
      <c r="A33" s="19"/>
      <c r="B33" s="19" t="s">
        <v>37</v>
      </c>
      <c r="C33" s="19" t="s">
        <v>317</v>
      </c>
      <c r="D33" s="19">
        <v>3</v>
      </c>
      <c r="E33" s="19"/>
      <c r="F33" s="38">
        <f t="shared" si="3"/>
        <v>3</v>
      </c>
      <c r="G33" s="24"/>
      <c r="H33" s="27"/>
      <c r="I33" s="21" t="s">
        <v>102</v>
      </c>
      <c r="J33" s="19" t="s">
        <v>179</v>
      </c>
      <c r="K33" s="19"/>
      <c r="L33" s="27"/>
    </row>
    <row r="34" spans="1:12" x14ac:dyDescent="0.3">
      <c r="A34" s="19"/>
      <c r="B34" s="19" t="s">
        <v>309</v>
      </c>
      <c r="C34" s="19" t="s">
        <v>318</v>
      </c>
      <c r="D34" s="19">
        <v>2</v>
      </c>
      <c r="E34" s="19">
        <v>1</v>
      </c>
      <c r="F34" s="38">
        <f t="shared" si="3"/>
        <v>3</v>
      </c>
      <c r="G34" s="24"/>
      <c r="H34" s="27"/>
      <c r="I34" s="21" t="s">
        <v>295</v>
      </c>
      <c r="J34" s="19" t="s">
        <v>179</v>
      </c>
      <c r="K34" s="19"/>
      <c r="L34" s="27"/>
    </row>
    <row r="35" spans="1:12" x14ac:dyDescent="0.3">
      <c r="A35" s="19"/>
      <c r="B35" s="19" t="s">
        <v>409</v>
      </c>
      <c r="C35" s="19" t="s">
        <v>411</v>
      </c>
      <c r="D35" s="19">
        <v>3</v>
      </c>
      <c r="E35" s="19"/>
      <c r="F35" s="38">
        <f t="shared" si="3"/>
        <v>3</v>
      </c>
      <c r="G35" s="24"/>
      <c r="H35" s="27"/>
      <c r="I35" s="21" t="s">
        <v>399</v>
      </c>
      <c r="J35" s="19" t="s">
        <v>179</v>
      </c>
      <c r="K35" s="19"/>
      <c r="L35" s="27"/>
    </row>
    <row r="36" spans="1:12" x14ac:dyDescent="0.3">
      <c r="A36" s="19"/>
      <c r="B36" s="19" t="s">
        <v>410</v>
      </c>
      <c r="C36" s="19" t="s">
        <v>412</v>
      </c>
      <c r="D36" s="19">
        <v>3</v>
      </c>
      <c r="E36" s="19"/>
      <c r="F36" s="38">
        <f t="shared" si="3"/>
        <v>3</v>
      </c>
      <c r="G36" s="24"/>
      <c r="H36" s="27"/>
      <c r="I36" s="21" t="s">
        <v>399</v>
      </c>
      <c r="J36" s="19" t="s">
        <v>179</v>
      </c>
      <c r="K36" s="19"/>
      <c r="L36" s="27"/>
    </row>
    <row r="37" spans="1:12" s="17" customFormat="1" x14ac:dyDescent="0.3">
      <c r="A37" s="57" t="s">
        <v>73</v>
      </c>
      <c r="B37" s="57"/>
      <c r="C37" s="57"/>
      <c r="D37" s="30">
        <f>SUM(D31:D36)</f>
        <v>17</v>
      </c>
      <c r="E37" s="30">
        <v>1</v>
      </c>
      <c r="F37" s="30">
        <f>SUM(D37:E37)</f>
        <v>18</v>
      </c>
      <c r="G37" s="25"/>
      <c r="H37" s="28"/>
      <c r="I37" s="22"/>
      <c r="J37" s="30"/>
      <c r="K37" s="30"/>
      <c r="L37" s="28"/>
    </row>
    <row r="38" spans="1:12" x14ac:dyDescent="0.3">
      <c r="A38" s="19"/>
      <c r="B38" s="19"/>
      <c r="C38" s="19"/>
      <c r="D38" s="19"/>
      <c r="E38" s="19"/>
      <c r="F38" s="19"/>
      <c r="G38" s="24" t="s">
        <v>174</v>
      </c>
      <c r="H38" s="27" t="s">
        <v>14</v>
      </c>
      <c r="I38" s="21"/>
      <c r="J38" s="19"/>
      <c r="K38" s="19"/>
      <c r="L38" s="27"/>
    </row>
    <row r="39" spans="1:12" x14ac:dyDescent="0.3">
      <c r="A39" s="19"/>
      <c r="B39" s="19" t="s">
        <v>41</v>
      </c>
      <c r="C39" s="19" t="s">
        <v>330</v>
      </c>
      <c r="D39" s="19">
        <v>3</v>
      </c>
      <c r="E39" s="19"/>
      <c r="F39" s="38">
        <f t="shared" ref="F39:F45" si="4">SUM(D39:E39)</f>
        <v>3</v>
      </c>
      <c r="G39" s="24"/>
      <c r="H39" s="27"/>
      <c r="I39" s="21" t="s">
        <v>92</v>
      </c>
      <c r="J39" s="19" t="s">
        <v>179</v>
      </c>
      <c r="K39" s="19"/>
      <c r="L39" s="27" t="s">
        <v>596</v>
      </c>
    </row>
    <row r="40" spans="1:12" x14ac:dyDescent="0.3">
      <c r="A40" s="19"/>
      <c r="B40" s="19" t="s">
        <v>42</v>
      </c>
      <c r="C40" s="19" t="s">
        <v>329</v>
      </c>
      <c r="D40" s="19">
        <v>3</v>
      </c>
      <c r="E40" s="19"/>
      <c r="F40" s="38">
        <f t="shared" si="4"/>
        <v>3</v>
      </c>
      <c r="G40" s="24"/>
      <c r="H40" s="27"/>
      <c r="I40" s="21" t="s">
        <v>92</v>
      </c>
      <c r="J40" s="19" t="s">
        <v>179</v>
      </c>
      <c r="K40" s="19"/>
      <c r="L40" s="27" t="s">
        <v>598</v>
      </c>
    </row>
    <row r="41" spans="1:12" x14ac:dyDescent="0.3">
      <c r="A41" s="19"/>
      <c r="B41" s="19" t="s">
        <v>60</v>
      </c>
      <c r="C41" s="19" t="s">
        <v>327</v>
      </c>
      <c r="D41" s="19">
        <v>2</v>
      </c>
      <c r="E41" s="19"/>
      <c r="F41" s="38">
        <f t="shared" si="4"/>
        <v>2</v>
      </c>
      <c r="G41" s="24"/>
      <c r="H41" s="27"/>
      <c r="I41" s="21" t="s">
        <v>102</v>
      </c>
      <c r="J41" s="19" t="s">
        <v>179</v>
      </c>
      <c r="K41" s="19"/>
      <c r="L41" s="27"/>
    </row>
    <row r="42" spans="1:12" x14ac:dyDescent="0.3">
      <c r="A42" s="19"/>
      <c r="B42" s="19" t="s">
        <v>322</v>
      </c>
      <c r="C42" s="19" t="s">
        <v>326</v>
      </c>
      <c r="D42" s="19">
        <v>2</v>
      </c>
      <c r="E42" s="19">
        <v>1</v>
      </c>
      <c r="F42" s="38">
        <f t="shared" si="4"/>
        <v>3</v>
      </c>
      <c r="G42" s="24"/>
      <c r="H42" s="27"/>
      <c r="I42" s="21" t="s">
        <v>295</v>
      </c>
      <c r="J42" s="19" t="s">
        <v>179</v>
      </c>
      <c r="K42" s="19"/>
      <c r="L42" s="27"/>
    </row>
    <row r="43" spans="1:12" x14ac:dyDescent="0.3">
      <c r="A43" s="19"/>
      <c r="B43" s="19" t="s">
        <v>413</v>
      </c>
      <c r="C43" s="19" t="s">
        <v>419</v>
      </c>
      <c r="D43" s="19">
        <v>2</v>
      </c>
      <c r="E43" s="19"/>
      <c r="F43" s="38">
        <f t="shared" si="4"/>
        <v>2</v>
      </c>
      <c r="G43" s="24"/>
      <c r="H43" s="27"/>
      <c r="I43" s="21" t="s">
        <v>399</v>
      </c>
      <c r="J43" s="19" t="s">
        <v>179</v>
      </c>
      <c r="K43" s="19"/>
      <c r="L43" s="27"/>
    </row>
    <row r="44" spans="1:12" x14ac:dyDescent="0.3">
      <c r="A44" s="19"/>
      <c r="B44" s="19" t="s">
        <v>414</v>
      </c>
      <c r="C44" s="19" t="s">
        <v>420</v>
      </c>
      <c r="D44" s="19">
        <v>3</v>
      </c>
      <c r="E44" s="19"/>
      <c r="F44" s="38">
        <f t="shared" si="4"/>
        <v>3</v>
      </c>
      <c r="G44" s="24"/>
      <c r="H44" s="27"/>
      <c r="I44" s="21" t="s">
        <v>399</v>
      </c>
      <c r="J44" s="19" t="s">
        <v>179</v>
      </c>
      <c r="K44" s="19"/>
      <c r="L44" s="27"/>
    </row>
    <row r="45" spans="1:12" x14ac:dyDescent="0.3">
      <c r="A45" s="19"/>
      <c r="B45" s="19" t="s">
        <v>49</v>
      </c>
      <c r="C45" s="19" t="s">
        <v>338</v>
      </c>
      <c r="D45" s="19">
        <v>3</v>
      </c>
      <c r="E45" s="19"/>
      <c r="F45" s="38">
        <f t="shared" si="4"/>
        <v>3</v>
      </c>
      <c r="G45" s="24"/>
      <c r="H45" s="27"/>
      <c r="I45" s="21" t="s">
        <v>92</v>
      </c>
      <c r="J45" s="19" t="s">
        <v>179</v>
      </c>
      <c r="K45" s="19"/>
      <c r="L45" s="27" t="s">
        <v>597</v>
      </c>
    </row>
    <row r="46" spans="1:12" s="17" customFormat="1" x14ac:dyDescent="0.3">
      <c r="A46" s="57" t="s">
        <v>73</v>
      </c>
      <c r="B46" s="57"/>
      <c r="C46" s="57"/>
      <c r="D46" s="30">
        <f>SUM(D39:D45)</f>
        <v>18</v>
      </c>
      <c r="E46" s="30">
        <v>1</v>
      </c>
      <c r="F46" s="30">
        <f>SUM(D46:E46)</f>
        <v>19</v>
      </c>
      <c r="G46" s="25"/>
      <c r="H46" s="28"/>
      <c r="I46" s="22"/>
      <c r="J46" s="30"/>
      <c r="K46" s="30"/>
      <c r="L46" s="28"/>
    </row>
    <row r="47" spans="1:12" x14ac:dyDescent="0.3">
      <c r="A47" s="19"/>
      <c r="B47" s="19"/>
      <c r="C47" s="19"/>
      <c r="D47" s="19"/>
      <c r="E47" s="19"/>
      <c r="F47" s="19"/>
      <c r="G47" s="24"/>
      <c r="H47" s="27" t="s">
        <v>81</v>
      </c>
      <c r="I47" s="21"/>
      <c r="J47" s="19"/>
      <c r="K47" s="19"/>
      <c r="L47" s="27"/>
    </row>
    <row r="48" spans="1:12" x14ac:dyDescent="0.3">
      <c r="A48" s="19"/>
      <c r="B48" s="19" t="s">
        <v>331</v>
      </c>
      <c r="C48" s="19" t="s">
        <v>340</v>
      </c>
      <c r="D48" s="19">
        <v>3</v>
      </c>
      <c r="E48" s="19"/>
      <c r="F48" s="38">
        <f t="shared" ref="F48:F53" si="5">SUM(D48:E48)</f>
        <v>3</v>
      </c>
      <c r="G48" s="24"/>
      <c r="H48" s="27"/>
      <c r="I48" s="21" t="s">
        <v>92</v>
      </c>
      <c r="J48" s="19" t="s">
        <v>179</v>
      </c>
      <c r="K48" s="19"/>
      <c r="L48" s="27"/>
    </row>
    <row r="49" spans="1:12" x14ac:dyDescent="0.3">
      <c r="A49" s="19"/>
      <c r="B49" s="19" t="s">
        <v>415</v>
      </c>
      <c r="C49" s="19" t="s">
        <v>421</v>
      </c>
      <c r="D49" s="19">
        <v>3</v>
      </c>
      <c r="E49" s="19"/>
      <c r="F49" s="38">
        <f t="shared" si="5"/>
        <v>3</v>
      </c>
      <c r="G49" s="24"/>
      <c r="H49" s="27"/>
      <c r="I49" s="21" t="s">
        <v>92</v>
      </c>
      <c r="J49" s="19" t="s">
        <v>179</v>
      </c>
      <c r="K49" s="19"/>
      <c r="L49" s="27"/>
    </row>
    <row r="50" spans="1:12" x14ac:dyDescent="0.3">
      <c r="A50" s="19"/>
      <c r="B50" s="19" t="s">
        <v>333</v>
      </c>
      <c r="C50" s="19" t="s">
        <v>337</v>
      </c>
      <c r="D50" s="19">
        <v>3</v>
      </c>
      <c r="E50" s="19"/>
      <c r="F50" s="38">
        <f t="shared" si="5"/>
        <v>3</v>
      </c>
      <c r="G50" s="24"/>
      <c r="H50" s="27"/>
      <c r="I50" s="21" t="s">
        <v>295</v>
      </c>
      <c r="J50" s="19" t="s">
        <v>179</v>
      </c>
      <c r="K50" s="19"/>
      <c r="L50" s="27"/>
    </row>
    <row r="51" spans="1:12" x14ac:dyDescent="0.3">
      <c r="A51" s="19"/>
      <c r="B51" s="19" t="s">
        <v>416</v>
      </c>
      <c r="C51" s="19" t="s">
        <v>422</v>
      </c>
      <c r="D51" s="19">
        <v>3</v>
      </c>
      <c r="E51" s="19"/>
      <c r="F51" s="38">
        <f t="shared" si="5"/>
        <v>3</v>
      </c>
      <c r="G51" s="24"/>
      <c r="H51" s="27"/>
      <c r="I51" s="21" t="s">
        <v>399</v>
      </c>
      <c r="J51" s="19" t="s">
        <v>179</v>
      </c>
      <c r="K51" s="19"/>
      <c r="L51" s="27"/>
    </row>
    <row r="52" spans="1:12" x14ac:dyDescent="0.3">
      <c r="A52" s="19"/>
      <c r="B52" s="19" t="s">
        <v>417</v>
      </c>
      <c r="C52" s="19" t="s">
        <v>423</v>
      </c>
      <c r="D52" s="19">
        <v>2</v>
      </c>
      <c r="E52" s="19">
        <v>1</v>
      </c>
      <c r="F52" s="38">
        <f t="shared" si="5"/>
        <v>3</v>
      </c>
      <c r="G52" s="24"/>
      <c r="H52" s="27"/>
      <c r="I52" s="21" t="s">
        <v>399</v>
      </c>
      <c r="J52" s="19" t="s">
        <v>179</v>
      </c>
      <c r="K52" s="19"/>
      <c r="L52" s="27"/>
    </row>
    <row r="53" spans="1:12" x14ac:dyDescent="0.3">
      <c r="A53" s="19"/>
      <c r="B53" s="19" t="s">
        <v>310</v>
      </c>
      <c r="C53" s="19" t="s">
        <v>319</v>
      </c>
      <c r="D53" s="19">
        <v>3</v>
      </c>
      <c r="E53" s="19"/>
      <c r="F53" s="38">
        <f t="shared" si="5"/>
        <v>3</v>
      </c>
      <c r="G53" s="24"/>
      <c r="H53" s="27"/>
      <c r="I53" s="21" t="s">
        <v>295</v>
      </c>
      <c r="J53" s="19" t="s">
        <v>179</v>
      </c>
      <c r="K53" s="19"/>
      <c r="L53" s="27"/>
    </row>
    <row r="54" spans="1:12" s="17" customFormat="1" x14ac:dyDescent="0.3">
      <c r="A54" s="57" t="s">
        <v>73</v>
      </c>
      <c r="B54" s="57"/>
      <c r="C54" s="57"/>
      <c r="D54" s="30">
        <f>SUM(D48:D48:D53)</f>
        <v>17</v>
      </c>
      <c r="E54" s="30">
        <v>1</v>
      </c>
      <c r="F54" s="30">
        <f>SUM(D54:E54)</f>
        <v>18</v>
      </c>
      <c r="G54" s="25"/>
      <c r="H54" s="28"/>
      <c r="I54" s="22"/>
      <c r="J54" s="30"/>
      <c r="K54" s="30"/>
      <c r="L54" s="28"/>
    </row>
    <row r="55" spans="1:12" x14ac:dyDescent="0.3">
      <c r="A55" s="19"/>
      <c r="B55" s="19"/>
      <c r="C55" s="19"/>
      <c r="D55" s="19"/>
      <c r="E55" s="19"/>
      <c r="F55" s="19"/>
      <c r="G55" s="24"/>
      <c r="H55" s="27" t="s">
        <v>85</v>
      </c>
      <c r="I55" s="21"/>
      <c r="J55" s="19"/>
      <c r="K55" s="19"/>
      <c r="L55" s="27"/>
    </row>
    <row r="56" spans="1:12" x14ac:dyDescent="0.3">
      <c r="A56" s="19"/>
      <c r="B56" s="19" t="s">
        <v>53</v>
      </c>
      <c r="C56" s="19" t="s">
        <v>126</v>
      </c>
      <c r="D56" s="19">
        <v>6</v>
      </c>
      <c r="E56" s="19"/>
      <c r="F56" s="38">
        <f t="shared" ref="F56" si="6">SUM(D56:E56)</f>
        <v>6</v>
      </c>
      <c r="G56" s="24"/>
      <c r="H56" s="27"/>
      <c r="I56" s="21" t="s">
        <v>92</v>
      </c>
      <c r="J56" s="19" t="s">
        <v>179</v>
      </c>
      <c r="K56" s="19"/>
      <c r="L56" s="27" t="s">
        <v>599</v>
      </c>
    </row>
    <row r="57" spans="1:12" s="17" customFormat="1" x14ac:dyDescent="0.3">
      <c r="A57" s="57" t="s">
        <v>73</v>
      </c>
      <c r="B57" s="57"/>
      <c r="C57" s="57"/>
      <c r="D57" s="30">
        <f>SUM(D56)</f>
        <v>6</v>
      </c>
      <c r="E57" s="30"/>
      <c r="F57" s="30"/>
      <c r="G57" s="25"/>
      <c r="H57" s="28"/>
      <c r="I57" s="22"/>
      <c r="J57" s="30"/>
      <c r="K57" s="30"/>
      <c r="L57" s="28"/>
    </row>
    <row r="58" spans="1:12" x14ac:dyDescent="0.3">
      <c r="A58" s="19"/>
      <c r="B58" s="19"/>
      <c r="C58" s="19"/>
      <c r="D58" s="19"/>
      <c r="E58" s="19"/>
      <c r="F58" s="19"/>
      <c r="G58" s="24" t="s">
        <v>158</v>
      </c>
      <c r="H58" s="27" t="s">
        <v>159</v>
      </c>
      <c r="I58" s="21"/>
      <c r="J58" s="19"/>
      <c r="K58" s="19"/>
      <c r="L58" s="27"/>
    </row>
    <row r="59" spans="1:12" x14ac:dyDescent="0.3">
      <c r="A59" s="19"/>
      <c r="B59" s="19" t="s">
        <v>54</v>
      </c>
      <c r="C59" s="19" t="s">
        <v>80</v>
      </c>
      <c r="D59" s="19">
        <v>3</v>
      </c>
      <c r="E59" s="19"/>
      <c r="F59" s="38">
        <f t="shared" ref="F59:F64" si="7">SUM(D59:E59)</f>
        <v>3</v>
      </c>
      <c r="G59" s="24"/>
      <c r="H59" s="27"/>
      <c r="I59" s="21" t="s">
        <v>92</v>
      </c>
      <c r="J59" s="19" t="s">
        <v>179</v>
      </c>
      <c r="K59" s="19"/>
      <c r="L59" s="27" t="s">
        <v>591</v>
      </c>
    </row>
    <row r="60" spans="1:12" x14ac:dyDescent="0.3">
      <c r="A60" s="19"/>
      <c r="B60" s="19" t="s">
        <v>55</v>
      </c>
      <c r="C60" s="19" t="s">
        <v>350</v>
      </c>
      <c r="D60" s="19">
        <v>3</v>
      </c>
      <c r="E60" s="19"/>
      <c r="F60" s="38">
        <f t="shared" si="7"/>
        <v>3</v>
      </c>
      <c r="G60" s="24"/>
      <c r="H60" s="27"/>
      <c r="I60" s="21" t="s">
        <v>92</v>
      </c>
      <c r="J60" s="19" t="s">
        <v>179</v>
      </c>
      <c r="K60" s="19"/>
      <c r="L60" s="27" t="s">
        <v>591</v>
      </c>
    </row>
    <row r="61" spans="1:12" x14ac:dyDescent="0.3">
      <c r="A61" s="19"/>
      <c r="B61" s="19" t="s">
        <v>342</v>
      </c>
      <c r="C61" s="19" t="s">
        <v>351</v>
      </c>
      <c r="D61" s="19">
        <v>2</v>
      </c>
      <c r="E61" s="19">
        <v>1</v>
      </c>
      <c r="F61" s="38">
        <f t="shared" si="7"/>
        <v>3</v>
      </c>
      <c r="G61" s="24"/>
      <c r="H61" s="27"/>
      <c r="I61" s="21" t="s">
        <v>295</v>
      </c>
      <c r="J61" s="19" t="s">
        <v>179</v>
      </c>
      <c r="K61" s="19"/>
      <c r="L61" s="27"/>
    </row>
    <row r="62" spans="1:12" x14ac:dyDescent="0.3">
      <c r="A62" s="19"/>
      <c r="B62" s="19" t="s">
        <v>343</v>
      </c>
      <c r="C62" s="19" t="s">
        <v>352</v>
      </c>
      <c r="D62" s="19">
        <v>2</v>
      </c>
      <c r="E62" s="19">
        <v>1</v>
      </c>
      <c r="F62" s="38">
        <f t="shared" si="7"/>
        <v>3</v>
      </c>
      <c r="G62" s="24"/>
      <c r="H62" s="27"/>
      <c r="I62" s="21" t="s">
        <v>295</v>
      </c>
      <c r="J62" s="19" t="s">
        <v>179</v>
      </c>
      <c r="K62" s="19"/>
      <c r="L62" s="27"/>
    </row>
    <row r="63" spans="1:12" x14ac:dyDescent="0.3">
      <c r="A63" s="19"/>
      <c r="B63" s="19" t="s">
        <v>424</v>
      </c>
      <c r="C63" s="19" t="s">
        <v>430</v>
      </c>
      <c r="D63" s="19">
        <v>3</v>
      </c>
      <c r="E63" s="19"/>
      <c r="F63" s="38">
        <f t="shared" si="7"/>
        <v>3</v>
      </c>
      <c r="G63" s="24"/>
      <c r="H63" s="27"/>
      <c r="I63" s="21" t="s">
        <v>399</v>
      </c>
      <c r="J63" s="19" t="s">
        <v>179</v>
      </c>
      <c r="K63" s="19"/>
      <c r="L63" s="27"/>
    </row>
    <row r="64" spans="1:12" x14ac:dyDescent="0.3">
      <c r="A64" s="19"/>
      <c r="B64" s="19" t="s">
        <v>425</v>
      </c>
      <c r="C64" s="19" t="s">
        <v>431</v>
      </c>
      <c r="D64" s="19">
        <v>2</v>
      </c>
      <c r="E64" s="19"/>
      <c r="F64" s="38">
        <f t="shared" si="7"/>
        <v>2</v>
      </c>
      <c r="G64" s="24"/>
      <c r="H64" s="27"/>
      <c r="I64" s="21" t="s">
        <v>399</v>
      </c>
      <c r="J64" s="19" t="s">
        <v>179</v>
      </c>
      <c r="K64" s="19"/>
      <c r="L64" s="27"/>
    </row>
    <row r="65" spans="1:12" s="17" customFormat="1" x14ac:dyDescent="0.3">
      <c r="A65" s="57" t="s">
        <v>73</v>
      </c>
      <c r="B65" s="57"/>
      <c r="C65" s="57"/>
      <c r="D65" s="30">
        <f>SUM(D59:D64)</f>
        <v>15</v>
      </c>
      <c r="E65" s="30">
        <v>2</v>
      </c>
      <c r="F65" s="30">
        <f>SUM(D65:E65)</f>
        <v>17</v>
      </c>
      <c r="G65" s="25"/>
      <c r="H65" s="28"/>
      <c r="I65" s="22"/>
      <c r="J65" s="30"/>
      <c r="K65" s="30"/>
      <c r="L65" s="28"/>
    </row>
    <row r="67" spans="1:12" x14ac:dyDescent="0.3">
      <c r="A67" s="58" t="s">
        <v>459</v>
      </c>
      <c r="B67" s="58"/>
      <c r="C67" s="58"/>
      <c r="D67" s="19"/>
      <c r="E67" s="19"/>
      <c r="F67" s="38"/>
      <c r="G67" s="24"/>
      <c r="H67" s="27"/>
      <c r="I67" s="21"/>
      <c r="J67" s="19" t="s">
        <v>179</v>
      </c>
    </row>
    <row r="68" spans="1:12" x14ac:dyDescent="0.3">
      <c r="A68" s="19"/>
      <c r="B68" s="19" t="s">
        <v>460</v>
      </c>
      <c r="C68" s="19" t="s">
        <v>462</v>
      </c>
      <c r="D68" s="19">
        <v>3</v>
      </c>
      <c r="E68" s="19"/>
      <c r="F68" s="19"/>
      <c r="G68" s="24"/>
      <c r="H68" s="27"/>
      <c r="I68" s="21" t="s">
        <v>295</v>
      </c>
      <c r="J68" s="19" t="s">
        <v>179</v>
      </c>
    </row>
    <row r="69" spans="1:12" x14ac:dyDescent="0.3">
      <c r="A69" s="19"/>
      <c r="B69" s="19" t="s">
        <v>461</v>
      </c>
      <c r="C69" s="19" t="s">
        <v>463</v>
      </c>
      <c r="D69" s="19">
        <v>3</v>
      </c>
      <c r="E69" s="19"/>
      <c r="F69" s="19"/>
      <c r="G69" s="24"/>
      <c r="H69" s="27"/>
      <c r="I69" s="21" t="s">
        <v>295</v>
      </c>
      <c r="J69" s="19" t="s">
        <v>179</v>
      </c>
    </row>
    <row r="70" spans="1:12" x14ac:dyDescent="0.3">
      <c r="A70" s="19"/>
      <c r="B70" s="19"/>
      <c r="C70" s="19"/>
      <c r="D70" s="19"/>
      <c r="E70" s="19"/>
      <c r="F70" s="19"/>
      <c r="G70" s="24"/>
      <c r="H70" s="27" t="s">
        <v>81</v>
      </c>
      <c r="I70" s="21"/>
      <c r="J70" s="19"/>
    </row>
    <row r="71" spans="1:12" x14ac:dyDescent="0.3">
      <c r="A71" s="19"/>
      <c r="B71" s="19" t="s">
        <v>61</v>
      </c>
      <c r="C71" s="19" t="s">
        <v>72</v>
      </c>
      <c r="D71" s="19">
        <v>2</v>
      </c>
      <c r="E71" s="19"/>
      <c r="F71" s="38">
        <f t="shared" ref="F71:F77" si="8">SUM(D71:E71)</f>
        <v>2</v>
      </c>
      <c r="G71" s="24"/>
      <c r="H71" s="27"/>
      <c r="I71" s="21" t="s">
        <v>92</v>
      </c>
      <c r="J71" s="19" t="s">
        <v>179</v>
      </c>
      <c r="L71" s="32" t="s">
        <v>591</v>
      </c>
    </row>
    <row r="72" spans="1:12" x14ac:dyDescent="0.3">
      <c r="A72" s="19"/>
      <c r="B72" s="19" t="s">
        <v>62</v>
      </c>
      <c r="C72" s="19" t="s">
        <v>355</v>
      </c>
      <c r="D72" s="19">
        <v>3</v>
      </c>
      <c r="E72" s="19"/>
      <c r="F72" s="38">
        <f t="shared" si="8"/>
        <v>3</v>
      </c>
      <c r="G72" s="24"/>
      <c r="H72" s="27"/>
      <c r="I72" s="21" t="s">
        <v>92</v>
      </c>
      <c r="J72" s="19" t="s">
        <v>179</v>
      </c>
      <c r="L72" s="32" t="s">
        <v>591</v>
      </c>
    </row>
    <row r="73" spans="1:12" x14ac:dyDescent="0.3">
      <c r="A73" s="19"/>
      <c r="B73" s="19" t="s">
        <v>346</v>
      </c>
      <c r="C73" s="19" t="s">
        <v>356</v>
      </c>
      <c r="D73" s="19">
        <v>3</v>
      </c>
      <c r="E73" s="19"/>
      <c r="F73" s="38">
        <f t="shared" si="8"/>
        <v>3</v>
      </c>
      <c r="G73" s="24"/>
      <c r="H73" s="27"/>
      <c r="I73" s="21" t="s">
        <v>295</v>
      </c>
      <c r="J73" s="19" t="s">
        <v>179</v>
      </c>
    </row>
    <row r="74" spans="1:12" x14ac:dyDescent="0.3">
      <c r="A74" s="19"/>
      <c r="B74" s="19" t="s">
        <v>426</v>
      </c>
      <c r="C74" s="19" t="s">
        <v>429</v>
      </c>
      <c r="D74" s="19">
        <v>2</v>
      </c>
      <c r="E74" s="19">
        <v>1</v>
      </c>
      <c r="F74" s="38">
        <f t="shared" si="8"/>
        <v>3</v>
      </c>
      <c r="G74" s="24"/>
      <c r="H74" s="27"/>
      <c r="I74" s="21" t="s">
        <v>399</v>
      </c>
      <c r="J74" s="19" t="s">
        <v>179</v>
      </c>
    </row>
    <row r="75" spans="1:12" x14ac:dyDescent="0.3">
      <c r="A75" s="19"/>
      <c r="B75" s="19" t="s">
        <v>427</v>
      </c>
      <c r="C75" s="19" t="s">
        <v>428</v>
      </c>
      <c r="D75" s="19">
        <v>3</v>
      </c>
      <c r="E75" s="19"/>
      <c r="F75" s="38">
        <f t="shared" si="8"/>
        <v>3</v>
      </c>
      <c r="G75" s="24"/>
      <c r="H75" s="27"/>
      <c r="I75" s="21" t="s">
        <v>399</v>
      </c>
      <c r="J75" s="19" t="s">
        <v>179</v>
      </c>
    </row>
    <row r="76" spans="1:12" x14ac:dyDescent="0.3">
      <c r="A76" s="19"/>
      <c r="B76" s="19" t="s">
        <v>24</v>
      </c>
      <c r="C76" s="19" t="s">
        <v>170</v>
      </c>
      <c r="D76" s="19">
        <v>1</v>
      </c>
      <c r="E76" s="19"/>
      <c r="F76" s="38">
        <f t="shared" si="8"/>
        <v>1</v>
      </c>
      <c r="G76" s="24"/>
      <c r="H76" s="27"/>
      <c r="I76" s="21" t="s">
        <v>102</v>
      </c>
      <c r="J76" s="19" t="s">
        <v>179</v>
      </c>
    </row>
    <row r="77" spans="1:12" x14ac:dyDescent="0.3">
      <c r="A77" s="19"/>
      <c r="B77" s="19" t="s">
        <v>464</v>
      </c>
      <c r="C77" s="19" t="s">
        <v>466</v>
      </c>
      <c r="D77" s="19">
        <v>2</v>
      </c>
      <c r="E77" s="19">
        <v>1</v>
      </c>
      <c r="F77" s="38">
        <f t="shared" si="8"/>
        <v>3</v>
      </c>
      <c r="G77" s="24"/>
      <c r="H77" s="27"/>
      <c r="I77" s="21" t="s">
        <v>295</v>
      </c>
      <c r="J77" s="19" t="s">
        <v>179</v>
      </c>
    </row>
    <row r="78" spans="1:12" s="17" customFormat="1" x14ac:dyDescent="0.3">
      <c r="A78" s="55" t="s">
        <v>73</v>
      </c>
      <c r="B78" s="55"/>
      <c r="C78" s="55"/>
      <c r="D78" s="17">
        <f>SUM(D71:D77)</f>
        <v>16</v>
      </c>
      <c r="E78" s="17">
        <v>2</v>
      </c>
      <c r="F78" s="17">
        <f>SUM(D78:E78)</f>
        <v>18</v>
      </c>
      <c r="G78" s="26"/>
      <c r="H78" s="29"/>
      <c r="I78" s="23"/>
      <c r="L78" s="29"/>
    </row>
    <row r="80" spans="1:12" x14ac:dyDescent="0.3">
      <c r="B80" s="38" t="s">
        <v>603</v>
      </c>
    </row>
    <row r="81" spans="1:2" x14ac:dyDescent="0.3">
      <c r="A81" s="38" t="s">
        <v>608</v>
      </c>
      <c r="B81" s="38">
        <f>SUMIF(I2:I77,I76,F2:F77)</f>
        <v>11</v>
      </c>
    </row>
    <row r="82" spans="1:2" x14ac:dyDescent="0.3">
      <c r="A82" s="38" t="s">
        <v>628</v>
      </c>
      <c r="B82" s="38">
        <f>SUMIF(I2:I77,I73,F2:F77)</f>
        <v>42</v>
      </c>
    </row>
    <row r="83" spans="1:2" x14ac:dyDescent="0.3">
      <c r="A83" s="38" t="s">
        <v>629</v>
      </c>
      <c r="B83" s="38">
        <f>SUMIF(I2:I77,I75,F2:F77)</f>
        <v>42</v>
      </c>
    </row>
    <row r="84" spans="1:2" x14ac:dyDescent="0.3">
      <c r="A84" s="38" t="s">
        <v>92</v>
      </c>
      <c r="B84" s="38">
        <f>SUMIF(I2:I77,I71,F2:F77)</f>
        <v>55</v>
      </c>
    </row>
    <row r="85" spans="1:2" x14ac:dyDescent="0.3">
      <c r="A85" s="38" t="s">
        <v>610</v>
      </c>
      <c r="B85" s="38">
        <f>SUM(B81:B84)</f>
        <v>150</v>
      </c>
    </row>
    <row r="86" spans="1:2" x14ac:dyDescent="0.3">
      <c r="A86" s="38"/>
      <c r="B86" s="38"/>
    </row>
    <row r="87" spans="1:2" x14ac:dyDescent="0.3">
      <c r="A87" s="38"/>
      <c r="B87" s="38"/>
    </row>
    <row r="88" spans="1:2" x14ac:dyDescent="0.3">
      <c r="A88" s="38" t="s">
        <v>604</v>
      </c>
      <c r="B88" s="38"/>
    </row>
    <row r="89" spans="1:2" x14ac:dyDescent="0.3">
      <c r="A89" s="38" t="s">
        <v>605</v>
      </c>
      <c r="B89" s="38" t="s">
        <v>606</v>
      </c>
    </row>
    <row r="90" spans="1:2" x14ac:dyDescent="0.3">
      <c r="A90" s="38" t="s">
        <v>607</v>
      </c>
      <c r="B90" s="38" t="s">
        <v>606</v>
      </c>
    </row>
  </sheetData>
  <mergeCells count="12">
    <mergeCell ref="A37:C37"/>
    <mergeCell ref="A78:C78"/>
    <mergeCell ref="A46:C46"/>
    <mergeCell ref="A54:C54"/>
    <mergeCell ref="A57:C57"/>
    <mergeCell ref="A67:C67"/>
    <mergeCell ref="A65:C65"/>
    <mergeCell ref="D1:F1"/>
    <mergeCell ref="D2:F2"/>
    <mergeCell ref="A11:C11"/>
    <mergeCell ref="A20:C20"/>
    <mergeCell ref="A29:C2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tabSelected="1" topLeftCell="A58" zoomScaleNormal="100" workbookViewId="0">
      <selection activeCell="D47" sqref="D47"/>
    </sheetView>
  </sheetViews>
  <sheetFormatPr defaultRowHeight="14.4" x14ac:dyDescent="0.3"/>
  <cols>
    <col min="2" max="2" width="12.109375" bestFit="1" customWidth="1"/>
    <col min="3" max="3" width="51.5546875" bestFit="1" customWidth="1"/>
    <col min="4" max="4" width="20.33203125" bestFit="1" customWidth="1"/>
    <col min="5" max="5" width="10.33203125" bestFit="1" customWidth="1"/>
    <col min="6" max="6" width="14.88671875" bestFit="1" customWidth="1"/>
    <col min="7" max="7" width="30.44140625" style="3" bestFit="1" customWidth="1"/>
    <col min="8" max="8" width="39.109375" bestFit="1" customWidth="1"/>
    <col min="9" max="9" width="5.6640625" bestFit="1" customWidth="1"/>
    <col min="10" max="10" width="158.88671875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1" t="s">
        <v>7</v>
      </c>
      <c r="I1" s="11" t="s">
        <v>8</v>
      </c>
      <c r="J1" s="13" t="s">
        <v>9</v>
      </c>
    </row>
    <row r="2" spans="1:10" x14ac:dyDescent="0.3">
      <c r="A2" s="11" t="s">
        <v>583</v>
      </c>
      <c r="B2" s="11" t="s">
        <v>10</v>
      </c>
      <c r="C2" s="11" t="s">
        <v>11</v>
      </c>
      <c r="D2" s="11" t="s">
        <v>12</v>
      </c>
      <c r="E2" s="12" t="s">
        <v>13</v>
      </c>
      <c r="F2" s="13" t="s">
        <v>14</v>
      </c>
      <c r="G2" s="14"/>
      <c r="H2" s="11"/>
      <c r="I2" s="11"/>
      <c r="J2" s="13"/>
    </row>
    <row r="3" spans="1:10" x14ac:dyDescent="0.3">
      <c r="A3" s="19"/>
      <c r="B3" s="19" t="s">
        <v>16</v>
      </c>
      <c r="C3" s="19" t="s">
        <v>87</v>
      </c>
      <c r="D3" s="19">
        <v>3</v>
      </c>
      <c r="E3" s="19"/>
      <c r="F3" s="19"/>
      <c r="G3" s="21" t="s">
        <v>92</v>
      </c>
      <c r="H3" s="19" t="s">
        <v>179</v>
      </c>
      <c r="I3" s="19"/>
      <c r="J3" s="19"/>
    </row>
    <row r="4" spans="1:10" x14ac:dyDescent="0.3">
      <c r="A4" s="19"/>
      <c r="B4" s="19" t="s">
        <v>17</v>
      </c>
      <c r="C4" s="19" t="s">
        <v>88</v>
      </c>
      <c r="D4" s="19">
        <v>3</v>
      </c>
      <c r="E4" s="19"/>
      <c r="F4" s="19"/>
      <c r="G4" s="21" t="s">
        <v>102</v>
      </c>
      <c r="H4" s="19" t="s">
        <v>179</v>
      </c>
      <c r="I4" s="19"/>
      <c r="J4" s="19"/>
    </row>
    <row r="5" spans="1:10" x14ac:dyDescent="0.3">
      <c r="A5" s="19"/>
      <c r="B5" s="19" t="s">
        <v>18</v>
      </c>
      <c r="C5" s="19" t="s">
        <v>89</v>
      </c>
      <c r="D5" s="19">
        <v>3</v>
      </c>
      <c r="E5" s="19"/>
      <c r="F5" s="19"/>
      <c r="G5" s="21" t="s">
        <v>93</v>
      </c>
      <c r="H5" s="19" t="s">
        <v>179</v>
      </c>
      <c r="I5" s="19"/>
      <c r="J5" s="19"/>
    </row>
    <row r="6" spans="1:10" x14ac:dyDescent="0.3">
      <c r="A6" s="19"/>
      <c r="B6" s="19" t="s">
        <v>19</v>
      </c>
      <c r="C6" s="19" t="s">
        <v>107</v>
      </c>
      <c r="D6" s="19">
        <v>3</v>
      </c>
      <c r="E6" s="19"/>
      <c r="F6" s="19"/>
      <c r="G6" s="21" t="s">
        <v>93</v>
      </c>
      <c r="H6" s="19" t="s">
        <v>179</v>
      </c>
      <c r="I6" s="19"/>
      <c r="J6" s="19"/>
    </row>
    <row r="7" spans="1:10" x14ac:dyDescent="0.3">
      <c r="A7" s="19"/>
      <c r="B7" s="19" t="s">
        <v>554</v>
      </c>
      <c r="C7" s="19" t="s">
        <v>555</v>
      </c>
      <c r="D7" s="19">
        <v>4</v>
      </c>
      <c r="E7" s="19"/>
      <c r="F7" s="19"/>
      <c r="G7" s="21" t="s">
        <v>556</v>
      </c>
      <c r="H7" s="19" t="s">
        <v>179</v>
      </c>
      <c r="I7" s="19"/>
      <c r="J7" s="19"/>
    </row>
    <row r="8" spans="1:10" x14ac:dyDescent="0.3">
      <c r="A8" s="19"/>
      <c r="B8" s="19" t="s">
        <v>557</v>
      </c>
      <c r="C8" s="19" t="s">
        <v>558</v>
      </c>
      <c r="D8" s="19">
        <v>2</v>
      </c>
      <c r="E8" s="19"/>
      <c r="F8" s="19"/>
      <c r="G8" s="21" t="s">
        <v>556</v>
      </c>
      <c r="H8" s="19" t="s">
        <v>179</v>
      </c>
      <c r="I8" s="19"/>
      <c r="J8" s="19"/>
    </row>
    <row r="9" spans="1:10" s="17" customFormat="1" x14ac:dyDescent="0.3">
      <c r="A9" s="57" t="s">
        <v>73</v>
      </c>
      <c r="B9" s="57"/>
      <c r="C9" s="57"/>
      <c r="D9" s="30">
        <f>SUM(D3:D8)</f>
        <v>18</v>
      </c>
      <c r="E9" s="30"/>
      <c r="F9" s="30"/>
      <c r="G9" s="22"/>
      <c r="H9" s="30"/>
      <c r="I9" s="30"/>
      <c r="J9" s="30"/>
    </row>
    <row r="10" spans="1:10" x14ac:dyDescent="0.3">
      <c r="A10" s="19"/>
      <c r="B10" s="19"/>
      <c r="C10" s="19"/>
      <c r="D10" s="19"/>
      <c r="E10" s="19"/>
      <c r="F10" s="19" t="s">
        <v>81</v>
      </c>
      <c r="G10" s="21"/>
      <c r="H10" s="19"/>
      <c r="I10" s="19"/>
      <c r="J10" s="19"/>
    </row>
    <row r="11" spans="1:10" x14ac:dyDescent="0.3">
      <c r="A11" s="19"/>
      <c r="B11" s="19" t="s">
        <v>22</v>
      </c>
      <c r="C11" s="19" t="s">
        <v>95</v>
      </c>
      <c r="D11" s="19">
        <v>2</v>
      </c>
      <c r="E11" s="19"/>
      <c r="F11" s="19"/>
      <c r="G11" s="21" t="s">
        <v>92</v>
      </c>
      <c r="H11" s="19" t="s">
        <v>179</v>
      </c>
      <c r="I11" s="19"/>
      <c r="J11" s="19"/>
    </row>
    <row r="12" spans="1:10" x14ac:dyDescent="0.3">
      <c r="A12" s="19"/>
      <c r="B12" s="19" t="s">
        <v>23</v>
      </c>
      <c r="C12" s="19" t="s">
        <v>96</v>
      </c>
      <c r="D12" s="19">
        <v>2</v>
      </c>
      <c r="E12" s="19"/>
      <c r="F12" s="19"/>
      <c r="G12" s="21" t="s">
        <v>92</v>
      </c>
      <c r="H12" s="19" t="s">
        <v>179</v>
      </c>
      <c r="I12" s="19"/>
      <c r="J12" s="19" t="s">
        <v>592</v>
      </c>
    </row>
    <row r="13" spans="1:10" x14ac:dyDescent="0.3">
      <c r="A13" s="19"/>
      <c r="B13" s="19" t="s">
        <v>24</v>
      </c>
      <c r="C13" s="19" t="s">
        <v>97</v>
      </c>
      <c r="D13" s="19">
        <v>1</v>
      </c>
      <c r="E13" s="19"/>
      <c r="F13" s="19"/>
      <c r="G13" s="21" t="s">
        <v>102</v>
      </c>
      <c r="H13" s="19" t="s">
        <v>179</v>
      </c>
      <c r="I13" s="19"/>
      <c r="J13" s="19"/>
    </row>
    <row r="14" spans="1:10" x14ac:dyDescent="0.3">
      <c r="A14" s="19"/>
      <c r="B14" s="19" t="s">
        <v>504</v>
      </c>
      <c r="C14" s="19" t="s">
        <v>559</v>
      </c>
      <c r="D14" s="19">
        <v>2</v>
      </c>
      <c r="E14" s="19"/>
      <c r="F14" s="19"/>
      <c r="G14" s="21" t="s">
        <v>556</v>
      </c>
      <c r="H14" s="19" t="s">
        <v>179</v>
      </c>
      <c r="I14" s="19"/>
      <c r="J14" s="19"/>
    </row>
    <row r="15" spans="1:10" x14ac:dyDescent="0.3">
      <c r="A15" s="19"/>
      <c r="B15" s="19" t="s">
        <v>26</v>
      </c>
      <c r="C15" s="19" t="s">
        <v>106</v>
      </c>
      <c r="D15" s="19">
        <v>3</v>
      </c>
      <c r="E15" s="19"/>
      <c r="F15" s="19"/>
      <c r="G15" s="21" t="s">
        <v>93</v>
      </c>
      <c r="H15" s="19" t="s">
        <v>179</v>
      </c>
      <c r="I15" s="19"/>
      <c r="J15" s="19"/>
    </row>
    <row r="16" spans="1:10" x14ac:dyDescent="0.3">
      <c r="A16" s="19"/>
      <c r="B16" s="19" t="s">
        <v>27</v>
      </c>
      <c r="C16" s="19" t="s">
        <v>99</v>
      </c>
      <c r="D16" s="19">
        <v>3</v>
      </c>
      <c r="E16" s="19"/>
      <c r="F16" s="19"/>
      <c r="G16" s="21" t="s">
        <v>93</v>
      </c>
      <c r="H16" s="19" t="s">
        <v>179</v>
      </c>
      <c r="I16" s="19"/>
      <c r="J16" s="19"/>
    </row>
    <row r="17" spans="1:10" x14ac:dyDescent="0.3">
      <c r="A17" s="19"/>
      <c r="B17" s="19" t="s">
        <v>560</v>
      </c>
      <c r="C17" s="19" t="s">
        <v>561</v>
      </c>
      <c r="D17" s="19">
        <v>3</v>
      </c>
      <c r="E17" s="19"/>
      <c r="F17" s="19"/>
      <c r="G17" s="21" t="s">
        <v>437</v>
      </c>
      <c r="H17" s="19" t="s">
        <v>179</v>
      </c>
      <c r="I17" s="19"/>
      <c r="J17" s="19"/>
    </row>
    <row r="18" spans="1:10" x14ac:dyDescent="0.3">
      <c r="A18" s="19"/>
      <c r="B18" s="19" t="s">
        <v>29</v>
      </c>
      <c r="C18" s="19" t="s">
        <v>447</v>
      </c>
      <c r="D18" s="19">
        <v>2</v>
      </c>
      <c r="E18" s="19"/>
      <c r="F18" s="19"/>
      <c r="G18" s="21" t="s">
        <v>92</v>
      </c>
      <c r="H18" s="19" t="s">
        <v>179</v>
      </c>
      <c r="I18" s="19"/>
      <c r="J18" s="19"/>
    </row>
    <row r="19" spans="1:10" s="17" customFormat="1" x14ac:dyDescent="0.3">
      <c r="A19" s="57" t="s">
        <v>73</v>
      </c>
      <c r="B19" s="57"/>
      <c r="C19" s="57"/>
      <c r="D19" s="30">
        <f>SUM(D11:D18)</f>
        <v>18</v>
      </c>
      <c r="E19" s="30"/>
      <c r="F19" s="30"/>
      <c r="G19" s="22"/>
      <c r="H19" s="30"/>
      <c r="I19" s="30"/>
      <c r="J19" s="30"/>
    </row>
    <row r="20" spans="1:10" x14ac:dyDescent="0.3">
      <c r="A20" s="19"/>
      <c r="B20" s="19"/>
      <c r="C20" s="19"/>
      <c r="D20" s="19"/>
      <c r="E20" s="19" t="s">
        <v>83</v>
      </c>
      <c r="F20" s="19" t="s">
        <v>14</v>
      </c>
      <c r="G20" s="21"/>
      <c r="H20" s="19"/>
      <c r="I20" s="19"/>
      <c r="J20" s="19"/>
    </row>
    <row r="21" spans="1:10" x14ac:dyDescent="0.3">
      <c r="A21" s="19"/>
      <c r="B21" s="19" t="s">
        <v>30</v>
      </c>
      <c r="C21" s="19" t="s">
        <v>103</v>
      </c>
      <c r="D21" s="19">
        <v>3</v>
      </c>
      <c r="E21" s="19"/>
      <c r="F21" s="19"/>
      <c r="G21" s="21" t="s">
        <v>92</v>
      </c>
      <c r="H21" s="19" t="s">
        <v>179</v>
      </c>
      <c r="I21" s="19"/>
      <c r="J21" s="19" t="s">
        <v>594</v>
      </c>
    </row>
    <row r="22" spans="1:10" x14ac:dyDescent="0.3">
      <c r="A22" s="19"/>
      <c r="B22" s="19" t="s">
        <v>31</v>
      </c>
      <c r="C22" s="19" t="s">
        <v>104</v>
      </c>
      <c r="D22" s="19">
        <v>3</v>
      </c>
      <c r="E22" s="19"/>
      <c r="F22" s="19"/>
      <c r="G22" s="21" t="s">
        <v>92</v>
      </c>
      <c r="H22" s="19" t="s">
        <v>179</v>
      </c>
      <c r="I22" s="19"/>
      <c r="J22" s="19"/>
    </row>
    <row r="23" spans="1:10" x14ac:dyDescent="0.3">
      <c r="A23" s="19"/>
      <c r="B23" s="19" t="s">
        <v>58</v>
      </c>
      <c r="C23" s="19" t="s">
        <v>584</v>
      </c>
      <c r="D23" s="19">
        <v>2</v>
      </c>
      <c r="E23" s="19"/>
      <c r="F23" s="19"/>
      <c r="G23" s="21" t="s">
        <v>92</v>
      </c>
      <c r="H23" s="19" t="s">
        <v>179</v>
      </c>
      <c r="I23" s="19"/>
      <c r="J23" s="19"/>
    </row>
    <row r="24" spans="1:10" x14ac:dyDescent="0.3">
      <c r="A24" s="19"/>
      <c r="B24" s="19" t="s">
        <v>82</v>
      </c>
      <c r="C24" s="19" t="s">
        <v>107</v>
      </c>
      <c r="D24" s="19">
        <v>3</v>
      </c>
      <c r="E24" s="19"/>
      <c r="F24" s="19"/>
      <c r="G24" s="21" t="s">
        <v>93</v>
      </c>
      <c r="H24" s="19" t="s">
        <v>179</v>
      </c>
      <c r="I24" s="19"/>
      <c r="J24" s="19"/>
    </row>
    <row r="25" spans="1:10" x14ac:dyDescent="0.3">
      <c r="A25" s="19"/>
      <c r="B25" s="19" t="s">
        <v>32</v>
      </c>
      <c r="C25" s="19" t="s">
        <v>105</v>
      </c>
      <c r="D25" s="19">
        <v>3</v>
      </c>
      <c r="E25" s="19"/>
      <c r="F25" s="19"/>
      <c r="G25" s="21" t="s">
        <v>93</v>
      </c>
      <c r="H25" s="19" t="s">
        <v>179</v>
      </c>
      <c r="I25" s="19"/>
      <c r="J25" s="19"/>
    </row>
    <row r="26" spans="1:10" x14ac:dyDescent="0.3">
      <c r="A26" s="19"/>
      <c r="B26" s="19" t="s">
        <v>568</v>
      </c>
      <c r="C26" s="19" t="s">
        <v>569</v>
      </c>
      <c r="D26" s="19">
        <v>3</v>
      </c>
      <c r="E26" s="19"/>
      <c r="F26" s="19"/>
      <c r="G26" s="21" t="s">
        <v>556</v>
      </c>
      <c r="H26" s="19" t="s">
        <v>179</v>
      </c>
      <c r="I26" s="19"/>
      <c r="J26" s="19"/>
    </row>
    <row r="27" spans="1:10" s="17" customFormat="1" x14ac:dyDescent="0.3">
      <c r="A27" s="57" t="s">
        <v>73</v>
      </c>
      <c r="B27" s="57"/>
      <c r="C27" s="57"/>
      <c r="D27" s="30">
        <f>SUM(D21:D26)</f>
        <v>17</v>
      </c>
      <c r="E27" s="30"/>
      <c r="F27" s="30"/>
      <c r="G27" s="22"/>
      <c r="H27" s="30"/>
      <c r="I27" s="30"/>
      <c r="J27" s="30"/>
    </row>
    <row r="28" spans="1:10" x14ac:dyDescent="0.3">
      <c r="A28" s="19"/>
      <c r="B28" s="19"/>
      <c r="C28" s="19"/>
      <c r="D28" s="19"/>
      <c r="E28" s="19"/>
      <c r="F28" s="19" t="s">
        <v>81</v>
      </c>
      <c r="G28" s="21"/>
      <c r="H28" s="19"/>
      <c r="I28" s="19"/>
      <c r="J28" s="19"/>
    </row>
    <row r="29" spans="1:10" x14ac:dyDescent="0.3">
      <c r="A29" s="19"/>
      <c r="B29" s="19" t="s">
        <v>35</v>
      </c>
      <c r="C29" s="19" t="s">
        <v>110</v>
      </c>
      <c r="D29" s="19">
        <v>3</v>
      </c>
      <c r="E29" s="19"/>
      <c r="F29" s="19"/>
      <c r="G29" s="21" t="s">
        <v>92</v>
      </c>
      <c r="H29" s="19" t="s">
        <v>179</v>
      </c>
      <c r="I29" s="19"/>
      <c r="J29" s="19" t="s">
        <v>595</v>
      </c>
    </row>
    <row r="30" spans="1:10" x14ac:dyDescent="0.3">
      <c r="A30" s="19"/>
      <c r="B30" s="19" t="s">
        <v>36</v>
      </c>
      <c r="C30" s="19" t="s">
        <v>111</v>
      </c>
      <c r="D30" s="19">
        <v>3</v>
      </c>
      <c r="E30" s="19"/>
      <c r="F30" s="19"/>
      <c r="G30" s="21" t="s">
        <v>92</v>
      </c>
      <c r="H30" s="19" t="s">
        <v>179</v>
      </c>
      <c r="I30" s="19"/>
      <c r="J30" s="19"/>
    </row>
    <row r="31" spans="1:10" x14ac:dyDescent="0.3">
      <c r="A31" s="19"/>
      <c r="B31" s="19" t="s">
        <v>37</v>
      </c>
      <c r="C31" s="19" t="s">
        <v>115</v>
      </c>
      <c r="D31" s="19">
        <v>3</v>
      </c>
      <c r="E31" s="19"/>
      <c r="F31" s="19"/>
      <c r="G31" s="21" t="s">
        <v>102</v>
      </c>
      <c r="H31" s="19" t="s">
        <v>179</v>
      </c>
      <c r="I31" s="19"/>
      <c r="J31" s="19"/>
    </row>
    <row r="32" spans="1:10" x14ac:dyDescent="0.3">
      <c r="A32" s="19"/>
      <c r="B32" s="19" t="s">
        <v>38</v>
      </c>
      <c r="C32" s="19" t="s">
        <v>114</v>
      </c>
      <c r="D32" s="19">
        <v>3</v>
      </c>
      <c r="E32" s="19"/>
      <c r="F32" s="19"/>
      <c r="G32" s="21" t="s">
        <v>93</v>
      </c>
      <c r="H32" s="19" t="s">
        <v>179</v>
      </c>
      <c r="I32" s="19"/>
      <c r="J32" s="19"/>
    </row>
    <row r="33" spans="1:10" x14ac:dyDescent="0.3">
      <c r="A33" s="19"/>
      <c r="B33" s="19" t="s">
        <v>578</v>
      </c>
      <c r="C33" s="19" t="s">
        <v>574</v>
      </c>
      <c r="D33" s="19">
        <v>3</v>
      </c>
      <c r="E33" s="19"/>
      <c r="F33" s="19"/>
      <c r="G33" s="21" t="s">
        <v>556</v>
      </c>
      <c r="H33" s="19" t="s">
        <v>179</v>
      </c>
      <c r="I33" s="19"/>
      <c r="J33" s="19"/>
    </row>
    <row r="34" spans="1:10" x14ac:dyDescent="0.3">
      <c r="A34" s="19"/>
      <c r="B34" s="19" t="s">
        <v>564</v>
      </c>
      <c r="C34" s="19" t="s">
        <v>565</v>
      </c>
      <c r="D34" s="19">
        <v>4</v>
      </c>
      <c r="E34" s="19"/>
      <c r="F34" s="19"/>
      <c r="G34" s="21" t="s">
        <v>556</v>
      </c>
      <c r="H34" s="19" t="s">
        <v>179</v>
      </c>
      <c r="I34" s="19"/>
      <c r="J34" s="19"/>
    </row>
    <row r="35" spans="1:10" s="17" customFormat="1" x14ac:dyDescent="0.3">
      <c r="A35" s="57" t="s">
        <v>73</v>
      </c>
      <c r="B35" s="57"/>
      <c r="C35" s="57"/>
      <c r="D35" s="30">
        <f>SUM(D29:D34)</f>
        <v>19</v>
      </c>
      <c r="E35" s="30"/>
      <c r="F35" s="30"/>
      <c r="G35" s="22"/>
      <c r="H35" s="30"/>
      <c r="I35" s="30"/>
      <c r="J35" s="30"/>
    </row>
    <row r="36" spans="1:10" x14ac:dyDescent="0.3">
      <c r="A36" s="19"/>
      <c r="B36" s="19"/>
      <c r="C36" s="19"/>
      <c r="D36" s="19"/>
      <c r="E36" s="19" t="s">
        <v>84</v>
      </c>
      <c r="F36" s="19" t="s">
        <v>14</v>
      </c>
      <c r="G36" s="21"/>
      <c r="H36" s="19"/>
      <c r="I36" s="19"/>
      <c r="J36" s="19"/>
    </row>
    <row r="37" spans="1:10" x14ac:dyDescent="0.3">
      <c r="A37" s="19"/>
      <c r="B37" s="19" t="s">
        <v>41</v>
      </c>
      <c r="C37" s="19" t="s">
        <v>116</v>
      </c>
      <c r="D37" s="19">
        <v>3</v>
      </c>
      <c r="E37" s="19"/>
      <c r="F37" s="19"/>
      <c r="G37" s="21" t="s">
        <v>92</v>
      </c>
      <c r="H37" s="19" t="s">
        <v>179</v>
      </c>
      <c r="I37" s="19"/>
      <c r="J37" s="19" t="s">
        <v>596</v>
      </c>
    </row>
    <row r="38" spans="1:10" x14ac:dyDescent="0.3">
      <c r="A38" s="19"/>
      <c r="B38" s="19" t="s">
        <v>42</v>
      </c>
      <c r="C38" s="19" t="s">
        <v>117</v>
      </c>
      <c r="D38" s="19">
        <v>3</v>
      </c>
      <c r="E38" s="19"/>
      <c r="F38" s="19"/>
      <c r="G38" s="21" t="s">
        <v>92</v>
      </c>
      <c r="H38" s="19" t="s">
        <v>179</v>
      </c>
      <c r="I38" s="19"/>
      <c r="J38" s="19" t="s">
        <v>598</v>
      </c>
    </row>
    <row r="39" spans="1:10" x14ac:dyDescent="0.3">
      <c r="A39" s="19"/>
      <c r="B39" s="19" t="s">
        <v>60</v>
      </c>
      <c r="C39" s="19" t="s">
        <v>327</v>
      </c>
      <c r="D39" s="19">
        <v>2</v>
      </c>
      <c r="E39" s="19"/>
      <c r="F39" s="19"/>
      <c r="G39" s="21" t="s">
        <v>102</v>
      </c>
      <c r="H39" s="19" t="s">
        <v>179</v>
      </c>
      <c r="I39" s="19"/>
      <c r="J39" s="19"/>
    </row>
    <row r="40" spans="1:10" x14ac:dyDescent="0.3">
      <c r="A40" s="19"/>
      <c r="B40" s="19" t="s">
        <v>43</v>
      </c>
      <c r="C40" s="19" t="s">
        <v>118</v>
      </c>
      <c r="D40" s="19">
        <v>3</v>
      </c>
      <c r="E40" s="19"/>
      <c r="F40" s="19"/>
      <c r="G40" s="21" t="s">
        <v>93</v>
      </c>
      <c r="H40" s="19" t="s">
        <v>179</v>
      </c>
      <c r="I40" s="19"/>
      <c r="J40" s="19"/>
    </row>
    <row r="41" spans="1:10" x14ac:dyDescent="0.3">
      <c r="A41" s="19"/>
      <c r="B41" s="19" t="s">
        <v>44</v>
      </c>
      <c r="C41" s="19" t="s">
        <v>119</v>
      </c>
      <c r="D41" s="19">
        <v>3</v>
      </c>
      <c r="E41" s="19"/>
      <c r="F41" s="19"/>
      <c r="G41" s="21" t="s">
        <v>93</v>
      </c>
      <c r="H41" s="19" t="s">
        <v>179</v>
      </c>
      <c r="I41" s="19"/>
      <c r="J41" s="19"/>
    </row>
    <row r="42" spans="1:10" x14ac:dyDescent="0.3">
      <c r="A42" s="19"/>
      <c r="B42" s="19" t="s">
        <v>562</v>
      </c>
      <c r="C42" s="19" t="s">
        <v>563</v>
      </c>
      <c r="D42" s="19">
        <v>3</v>
      </c>
      <c r="E42" s="19"/>
      <c r="F42" s="19"/>
      <c r="G42" s="21" t="s">
        <v>556</v>
      </c>
      <c r="H42" s="19" t="s">
        <v>179</v>
      </c>
      <c r="I42" s="19"/>
      <c r="J42" s="19"/>
    </row>
    <row r="43" spans="1:10" s="17" customFormat="1" x14ac:dyDescent="0.3">
      <c r="A43" s="57" t="s">
        <v>73</v>
      </c>
      <c r="B43" s="57"/>
      <c r="C43" s="57"/>
      <c r="D43" s="30">
        <f>SUM(D37:D42)</f>
        <v>17</v>
      </c>
      <c r="E43" s="30"/>
      <c r="F43" s="30"/>
      <c r="G43" s="22"/>
      <c r="H43" s="30"/>
      <c r="I43" s="30"/>
      <c r="J43" s="30"/>
    </row>
    <row r="44" spans="1:10" x14ac:dyDescent="0.3">
      <c r="A44" s="19"/>
      <c r="B44" s="19"/>
      <c r="C44" s="19"/>
      <c r="D44" s="19"/>
      <c r="E44" s="19"/>
      <c r="F44" s="19" t="s">
        <v>81</v>
      </c>
      <c r="G44" s="21"/>
      <c r="H44" s="19"/>
      <c r="I44" s="19"/>
      <c r="J44" s="19"/>
    </row>
    <row r="45" spans="1:10" x14ac:dyDescent="0.3">
      <c r="A45" s="19"/>
      <c r="B45" s="19" t="s">
        <v>47</v>
      </c>
      <c r="C45" s="19" t="s">
        <v>122</v>
      </c>
      <c r="D45" s="19">
        <v>3</v>
      </c>
      <c r="E45" s="19"/>
      <c r="F45" s="19"/>
      <c r="G45" s="21" t="s">
        <v>92</v>
      </c>
      <c r="H45" s="19" t="s">
        <v>179</v>
      </c>
      <c r="I45" s="19"/>
      <c r="J45" s="19" t="s">
        <v>600</v>
      </c>
    </row>
    <row r="46" spans="1:10" x14ac:dyDescent="0.3">
      <c r="A46" s="19"/>
      <c r="B46" s="19" t="s">
        <v>570</v>
      </c>
      <c r="C46" s="19" t="s">
        <v>571</v>
      </c>
      <c r="D46" s="19">
        <v>3</v>
      </c>
      <c r="E46" s="19"/>
      <c r="F46" s="19"/>
      <c r="G46" s="21" t="s">
        <v>92</v>
      </c>
      <c r="H46" s="19" t="s">
        <v>179</v>
      </c>
      <c r="I46" s="51"/>
      <c r="J46" s="51" t="s">
        <v>600</v>
      </c>
    </row>
    <row r="47" spans="1:10" x14ac:dyDescent="0.3">
      <c r="A47" s="19"/>
      <c r="B47" s="19" t="s">
        <v>49</v>
      </c>
      <c r="C47" s="19" t="s">
        <v>124</v>
      </c>
      <c r="D47" s="19">
        <v>3</v>
      </c>
      <c r="E47" s="19"/>
      <c r="F47" s="19"/>
      <c r="G47" s="21" t="s">
        <v>92</v>
      </c>
      <c r="H47" s="19" t="s">
        <v>179</v>
      </c>
      <c r="I47" s="19"/>
      <c r="J47" s="19" t="s">
        <v>597</v>
      </c>
    </row>
    <row r="48" spans="1:10" x14ac:dyDescent="0.3">
      <c r="A48" s="19"/>
      <c r="B48" s="19" t="s">
        <v>59</v>
      </c>
      <c r="C48" s="19" t="s">
        <v>75</v>
      </c>
      <c r="D48" s="19">
        <v>3</v>
      </c>
      <c r="E48" s="19"/>
      <c r="F48" s="19"/>
      <c r="G48" s="21" t="s">
        <v>93</v>
      </c>
      <c r="H48" s="19" t="s">
        <v>179</v>
      </c>
      <c r="I48" s="19"/>
      <c r="J48" s="19"/>
    </row>
    <row r="49" spans="1:10" x14ac:dyDescent="0.3">
      <c r="A49" s="19"/>
      <c r="B49" s="19" t="s">
        <v>50</v>
      </c>
      <c r="C49" s="19" t="s">
        <v>125</v>
      </c>
      <c r="D49" s="19">
        <v>3</v>
      </c>
      <c r="E49" s="19"/>
      <c r="F49" s="19"/>
      <c r="G49" s="21" t="s">
        <v>93</v>
      </c>
      <c r="H49" s="19" t="s">
        <v>179</v>
      </c>
      <c r="I49" s="19"/>
      <c r="J49" s="19"/>
    </row>
    <row r="50" spans="1:10" ht="14.25" customHeight="1" x14ac:dyDescent="0.3">
      <c r="A50" s="19"/>
      <c r="B50" s="19" t="s">
        <v>634</v>
      </c>
      <c r="C50" s="19" t="s">
        <v>573</v>
      </c>
      <c r="D50" s="19">
        <v>3</v>
      </c>
      <c r="E50" s="19"/>
      <c r="F50" s="19"/>
      <c r="G50" s="21" t="s">
        <v>556</v>
      </c>
      <c r="H50" s="19" t="s">
        <v>179</v>
      </c>
      <c r="I50" s="19"/>
      <c r="J50" s="19"/>
    </row>
    <row r="51" spans="1:10" s="17" customFormat="1" x14ac:dyDescent="0.3">
      <c r="A51" s="57" t="s">
        <v>73</v>
      </c>
      <c r="B51" s="57"/>
      <c r="C51" s="57"/>
      <c r="D51" s="30">
        <f>SUM(D45:D50)</f>
        <v>18</v>
      </c>
      <c r="E51" s="30"/>
      <c r="F51" s="30"/>
      <c r="G51" s="22"/>
      <c r="H51" s="30"/>
      <c r="I51" s="30"/>
      <c r="J51" s="30"/>
    </row>
    <row r="52" spans="1:10" x14ac:dyDescent="0.3">
      <c r="A52" s="19"/>
      <c r="B52" s="19"/>
      <c r="C52" s="19"/>
      <c r="D52" s="19"/>
      <c r="E52" s="19"/>
      <c r="F52" s="19" t="s">
        <v>85</v>
      </c>
      <c r="G52" s="21"/>
      <c r="H52" s="19"/>
      <c r="I52" s="19"/>
      <c r="J52" s="19"/>
    </row>
    <row r="53" spans="1:10" x14ac:dyDescent="0.3">
      <c r="A53" s="19"/>
      <c r="B53" s="19" t="s">
        <v>53</v>
      </c>
      <c r="C53" s="19" t="s">
        <v>126</v>
      </c>
      <c r="D53" s="19">
        <v>6</v>
      </c>
      <c r="E53" s="19"/>
      <c r="F53" s="19"/>
      <c r="G53" s="21" t="s">
        <v>92</v>
      </c>
      <c r="H53" s="19" t="s">
        <v>179</v>
      </c>
      <c r="I53" s="19"/>
      <c r="J53" s="19" t="s">
        <v>599</v>
      </c>
    </row>
    <row r="54" spans="1:10" s="17" customFormat="1" x14ac:dyDescent="0.3">
      <c r="A54" s="57" t="s">
        <v>73</v>
      </c>
      <c r="B54" s="57"/>
      <c r="C54" s="57"/>
      <c r="D54" s="30">
        <f>SUM(D53)</f>
        <v>6</v>
      </c>
      <c r="E54" s="30"/>
      <c r="F54" s="30"/>
      <c r="G54" s="22"/>
      <c r="H54" s="30"/>
      <c r="I54" s="30"/>
      <c r="J54" s="30"/>
    </row>
    <row r="55" spans="1:10" x14ac:dyDescent="0.3">
      <c r="A55" s="19"/>
      <c r="B55" s="19"/>
      <c r="C55" s="19"/>
      <c r="D55" s="19"/>
      <c r="E55" s="19" t="s">
        <v>86</v>
      </c>
      <c r="F55" s="19" t="s">
        <v>14</v>
      </c>
      <c r="G55" s="21"/>
      <c r="H55" s="19"/>
      <c r="I55" s="19"/>
      <c r="J55" s="19"/>
    </row>
    <row r="56" spans="1:10" x14ac:dyDescent="0.3">
      <c r="A56" s="19"/>
      <c r="B56" s="19" t="s">
        <v>54</v>
      </c>
      <c r="C56" s="19" t="s">
        <v>80</v>
      </c>
      <c r="D56" s="19">
        <v>3</v>
      </c>
      <c r="E56" s="19"/>
      <c r="F56" s="19"/>
      <c r="G56" s="21" t="s">
        <v>92</v>
      </c>
      <c r="H56" s="19" t="s">
        <v>179</v>
      </c>
      <c r="I56" s="19"/>
      <c r="J56" s="19" t="s">
        <v>591</v>
      </c>
    </row>
    <row r="57" spans="1:10" x14ac:dyDescent="0.3">
      <c r="A57" s="19"/>
      <c r="B57" s="19" t="s">
        <v>55</v>
      </c>
      <c r="C57" s="19" t="s">
        <v>79</v>
      </c>
      <c r="D57" s="19">
        <v>3</v>
      </c>
      <c r="E57" s="19"/>
      <c r="F57" s="19"/>
      <c r="G57" s="21" t="s">
        <v>92</v>
      </c>
      <c r="H57" s="19" t="s">
        <v>179</v>
      </c>
      <c r="I57" s="19"/>
      <c r="J57" s="19" t="s">
        <v>591</v>
      </c>
    </row>
    <row r="58" spans="1:10" x14ac:dyDescent="0.3">
      <c r="A58" s="19"/>
      <c r="B58" s="19" t="s">
        <v>56</v>
      </c>
      <c r="C58" s="19" t="s">
        <v>78</v>
      </c>
      <c r="D58" s="19">
        <v>3</v>
      </c>
      <c r="E58" s="19"/>
      <c r="F58" s="19"/>
      <c r="G58" s="21" t="s">
        <v>93</v>
      </c>
      <c r="H58" s="19" t="s">
        <v>179</v>
      </c>
      <c r="I58" s="19"/>
      <c r="J58" s="19"/>
    </row>
    <row r="59" spans="1:10" x14ac:dyDescent="0.3">
      <c r="A59" s="19"/>
      <c r="B59" s="19" t="s">
        <v>577</v>
      </c>
      <c r="C59" s="19" t="s">
        <v>574</v>
      </c>
      <c r="D59" s="19">
        <v>3</v>
      </c>
      <c r="E59" s="19"/>
      <c r="F59" s="19"/>
      <c r="G59" s="21" t="s">
        <v>556</v>
      </c>
      <c r="H59" s="19" t="s">
        <v>179</v>
      </c>
      <c r="I59" s="19"/>
      <c r="J59" s="19"/>
    </row>
    <row r="60" spans="1:10" x14ac:dyDescent="0.3">
      <c r="A60" s="19"/>
      <c r="B60" s="19" t="s">
        <v>575</v>
      </c>
      <c r="C60" s="19" t="s">
        <v>576</v>
      </c>
      <c r="D60" s="19">
        <v>3</v>
      </c>
      <c r="E60" s="19"/>
      <c r="F60" s="19"/>
      <c r="G60" s="21" t="s">
        <v>556</v>
      </c>
      <c r="H60" s="19" t="s">
        <v>179</v>
      </c>
      <c r="I60" s="19"/>
      <c r="J60" s="19"/>
    </row>
    <row r="61" spans="1:10" x14ac:dyDescent="0.3">
      <c r="A61" s="19"/>
      <c r="B61" s="19" t="s">
        <v>566</v>
      </c>
      <c r="C61" s="19" t="s">
        <v>567</v>
      </c>
      <c r="D61" s="19">
        <v>3</v>
      </c>
      <c r="E61" s="19"/>
      <c r="F61" s="19"/>
      <c r="G61" s="21" t="s">
        <v>556</v>
      </c>
      <c r="H61" s="19" t="s">
        <v>179</v>
      </c>
      <c r="I61" s="19"/>
      <c r="J61" s="19"/>
    </row>
    <row r="62" spans="1:10" s="17" customFormat="1" x14ac:dyDescent="0.3">
      <c r="A62" s="57" t="s">
        <v>73</v>
      </c>
      <c r="B62" s="57"/>
      <c r="C62" s="57"/>
      <c r="D62" s="30">
        <f>SUM(D56:D61)</f>
        <v>18</v>
      </c>
      <c r="E62" s="30"/>
      <c r="F62" s="30"/>
      <c r="G62" s="22"/>
      <c r="H62" s="30"/>
      <c r="I62" s="30"/>
      <c r="J62" s="30"/>
    </row>
    <row r="63" spans="1:10" x14ac:dyDescent="0.3">
      <c r="A63" s="19"/>
      <c r="B63" s="19"/>
      <c r="C63" s="19"/>
      <c r="D63" s="19"/>
      <c r="E63" s="19"/>
      <c r="F63" s="19" t="s">
        <v>81</v>
      </c>
      <c r="G63" s="21"/>
      <c r="H63" s="19"/>
      <c r="I63" s="19"/>
      <c r="J63" s="19"/>
    </row>
    <row r="64" spans="1:10" x14ac:dyDescent="0.3">
      <c r="A64" s="19"/>
      <c r="B64" s="19" t="s">
        <v>61</v>
      </c>
      <c r="C64" s="19" t="s">
        <v>72</v>
      </c>
      <c r="D64" s="19">
        <v>2</v>
      </c>
      <c r="E64" s="19"/>
      <c r="F64" s="19"/>
      <c r="G64" s="21" t="s">
        <v>92</v>
      </c>
      <c r="H64" s="19" t="s">
        <v>179</v>
      </c>
      <c r="I64" s="19"/>
      <c r="J64" s="19" t="s">
        <v>591</v>
      </c>
    </row>
    <row r="65" spans="1:10" x14ac:dyDescent="0.3">
      <c r="A65" s="19"/>
      <c r="B65" s="19" t="s">
        <v>62</v>
      </c>
      <c r="C65" s="19" t="s">
        <v>71</v>
      </c>
      <c r="D65" s="19">
        <v>3</v>
      </c>
      <c r="E65" s="19"/>
      <c r="F65" s="19"/>
      <c r="G65" s="21" t="s">
        <v>92</v>
      </c>
      <c r="H65" s="19" t="s">
        <v>179</v>
      </c>
      <c r="I65" s="19"/>
      <c r="J65" s="19" t="s">
        <v>591</v>
      </c>
    </row>
    <row r="66" spans="1:10" x14ac:dyDescent="0.3">
      <c r="A66" s="19"/>
      <c r="B66" s="19" t="s">
        <v>63</v>
      </c>
      <c r="C66" s="19" t="s">
        <v>70</v>
      </c>
      <c r="D66" s="19">
        <v>3</v>
      </c>
      <c r="E66" s="19"/>
      <c r="F66" s="19"/>
      <c r="G66" s="21" t="s">
        <v>93</v>
      </c>
      <c r="H66" s="19" t="s">
        <v>179</v>
      </c>
      <c r="I66" s="19"/>
      <c r="J66" s="19"/>
    </row>
    <row r="67" spans="1:10" x14ac:dyDescent="0.3">
      <c r="A67" s="19"/>
      <c r="B67" s="19" t="s">
        <v>64</v>
      </c>
      <c r="C67" s="19" t="s">
        <v>69</v>
      </c>
      <c r="D67" s="19">
        <v>3</v>
      </c>
      <c r="E67" s="19"/>
      <c r="F67" s="19"/>
      <c r="G67" s="21" t="s">
        <v>93</v>
      </c>
      <c r="H67" s="19" t="s">
        <v>179</v>
      </c>
      <c r="I67" s="19"/>
      <c r="J67" s="19"/>
    </row>
    <row r="68" spans="1:10" x14ac:dyDescent="0.3">
      <c r="A68" s="19"/>
      <c r="B68" s="19" t="s">
        <v>579</v>
      </c>
      <c r="C68" s="19" t="s">
        <v>581</v>
      </c>
      <c r="D68" s="19">
        <v>3</v>
      </c>
      <c r="E68" s="19"/>
      <c r="F68" s="19"/>
      <c r="G68" s="21" t="s">
        <v>556</v>
      </c>
      <c r="H68" s="19" t="s">
        <v>179</v>
      </c>
      <c r="I68" s="19"/>
      <c r="J68" s="19"/>
    </row>
    <row r="69" spans="1:10" x14ac:dyDescent="0.3">
      <c r="A69" s="19"/>
      <c r="B69" s="19" t="s">
        <v>580</v>
      </c>
      <c r="C69" s="19" t="s">
        <v>582</v>
      </c>
      <c r="D69" s="19">
        <v>3</v>
      </c>
      <c r="E69" s="19"/>
      <c r="F69" s="19"/>
      <c r="G69" s="21" t="s">
        <v>556</v>
      </c>
      <c r="H69" s="19" t="s">
        <v>179</v>
      </c>
      <c r="I69" s="19"/>
      <c r="J69" s="19"/>
    </row>
    <row r="70" spans="1:10" s="17" customFormat="1" x14ac:dyDescent="0.3">
      <c r="A70" s="57" t="s">
        <v>73</v>
      </c>
      <c r="B70" s="57"/>
      <c r="C70" s="57"/>
      <c r="D70" s="30">
        <f>SUM(D64:D69)</f>
        <v>17</v>
      </c>
      <c r="E70" s="30"/>
      <c r="F70" s="30"/>
      <c r="G70" s="22"/>
      <c r="H70" s="30"/>
      <c r="I70" s="30"/>
      <c r="J70" s="30"/>
    </row>
    <row r="72" spans="1:10" x14ac:dyDescent="0.3">
      <c r="B72" s="38" t="s">
        <v>603</v>
      </c>
    </row>
    <row r="73" spans="1:10" x14ac:dyDescent="0.3">
      <c r="A73" s="38" t="s">
        <v>608</v>
      </c>
      <c r="B73" s="38">
        <f>SUMIF(G2:G69,G39,D2:D69)</f>
        <v>9</v>
      </c>
    </row>
    <row r="74" spans="1:10" x14ac:dyDescent="0.3">
      <c r="A74" s="38" t="s">
        <v>93</v>
      </c>
      <c r="B74" s="38">
        <f>SUMIF(G2:G70,G66,D2:D70)</f>
        <v>42</v>
      </c>
    </row>
    <row r="75" spans="1:10" x14ac:dyDescent="0.3">
      <c r="A75" s="38" t="s">
        <v>630</v>
      </c>
      <c r="B75" s="38">
        <f>SUMIF(G2:G70,G66,D2:D70)</f>
        <v>42</v>
      </c>
    </row>
    <row r="76" spans="1:10" x14ac:dyDescent="0.3">
      <c r="A76" s="38" t="s">
        <v>92</v>
      </c>
      <c r="B76" s="38">
        <f>SUMIF(G2:G70,G64,D2:D70)</f>
        <v>55</v>
      </c>
    </row>
    <row r="77" spans="1:10" x14ac:dyDescent="0.3">
      <c r="A77" s="38" t="s">
        <v>610</v>
      </c>
      <c r="B77" s="38">
        <f>SUM(B73:B76)</f>
        <v>148</v>
      </c>
    </row>
    <row r="78" spans="1:10" x14ac:dyDescent="0.3">
      <c r="A78" s="38"/>
      <c r="B78" s="38"/>
    </row>
    <row r="79" spans="1:10" x14ac:dyDescent="0.3">
      <c r="A79" s="38"/>
      <c r="B79" s="38"/>
    </row>
    <row r="80" spans="1:10" x14ac:dyDescent="0.3">
      <c r="A80" s="38" t="s">
        <v>604</v>
      </c>
      <c r="B80" s="38"/>
    </row>
    <row r="81" spans="1:2" x14ac:dyDescent="0.3">
      <c r="A81" s="38" t="s">
        <v>605</v>
      </c>
      <c r="B81" s="38" t="s">
        <v>606</v>
      </c>
    </row>
    <row r="82" spans="1:2" x14ac:dyDescent="0.3">
      <c r="A82" s="38" t="s">
        <v>607</v>
      </c>
      <c r="B82" s="38" t="s">
        <v>606</v>
      </c>
    </row>
  </sheetData>
  <mergeCells count="9">
    <mergeCell ref="A54:C54"/>
    <mergeCell ref="A62:C62"/>
    <mergeCell ref="A70:C70"/>
    <mergeCell ref="A9:C9"/>
    <mergeCell ref="A19:C19"/>
    <mergeCell ref="A27:C27"/>
    <mergeCell ref="A35:C35"/>
    <mergeCell ref="A43:C43"/>
    <mergeCell ref="A51:C5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topLeftCell="A67" zoomScaleNormal="100" workbookViewId="0">
      <selection activeCell="D89" sqref="D89"/>
    </sheetView>
  </sheetViews>
  <sheetFormatPr defaultRowHeight="14.4" x14ac:dyDescent="0.3"/>
  <cols>
    <col min="2" max="2" width="12.109375" style="38" bestFit="1" customWidth="1"/>
    <col min="3" max="3" width="43.88671875" style="38" bestFit="1" customWidth="1"/>
    <col min="4" max="4" width="11.33203125" style="38" customWidth="1"/>
    <col min="5" max="5" width="9.88671875" style="38" customWidth="1"/>
    <col min="6" max="6" width="11.44140625" style="38" customWidth="1"/>
    <col min="7" max="7" width="10.109375" style="24" bestFit="1" customWidth="1"/>
    <col min="8" max="8" width="14.88671875" style="27" bestFit="1" customWidth="1"/>
    <col min="9" max="9" width="30.44140625" style="21" bestFit="1" customWidth="1"/>
    <col min="10" max="10" width="39.109375" style="38" bestFit="1" customWidth="1"/>
    <col min="11" max="11" width="5.6640625" bestFit="1" customWidth="1"/>
    <col min="12" max="12" width="158.88671875" style="2" bestFit="1" customWidth="1"/>
  </cols>
  <sheetData>
    <row r="1" spans="1:12" x14ac:dyDescent="0.3">
      <c r="A1" s="19" t="s">
        <v>0</v>
      </c>
      <c r="B1" s="38" t="s">
        <v>1</v>
      </c>
      <c r="C1" s="38" t="s">
        <v>2</v>
      </c>
      <c r="D1" s="58" t="s">
        <v>3</v>
      </c>
      <c r="E1" s="58"/>
      <c r="F1" s="58"/>
      <c r="G1" s="24" t="s">
        <v>4</v>
      </c>
      <c r="H1" s="27" t="s">
        <v>5</v>
      </c>
      <c r="I1" s="21" t="s">
        <v>6</v>
      </c>
      <c r="J1" s="38" t="s">
        <v>7</v>
      </c>
      <c r="K1" s="19" t="s">
        <v>8</v>
      </c>
      <c r="L1" s="27" t="s">
        <v>9</v>
      </c>
    </row>
    <row r="2" spans="1:12" x14ac:dyDescent="0.3">
      <c r="A2" s="11" t="s">
        <v>585</v>
      </c>
      <c r="B2" s="45" t="s">
        <v>10</v>
      </c>
      <c r="C2" s="45" t="s">
        <v>11</v>
      </c>
      <c r="D2" s="59" t="s">
        <v>12</v>
      </c>
      <c r="E2" s="59"/>
      <c r="F2" s="59"/>
      <c r="G2" s="12" t="s">
        <v>13</v>
      </c>
      <c r="H2" s="13" t="s">
        <v>14</v>
      </c>
      <c r="K2" s="19"/>
      <c r="L2" s="27"/>
    </row>
    <row r="3" spans="1:12" x14ac:dyDescent="0.3">
      <c r="A3" s="11"/>
      <c r="B3" s="45"/>
      <c r="C3" s="45"/>
      <c r="D3" s="45" t="s">
        <v>282</v>
      </c>
      <c r="E3" s="45" t="s">
        <v>283</v>
      </c>
      <c r="F3" s="45" t="s">
        <v>284</v>
      </c>
      <c r="G3" s="12"/>
      <c r="H3" s="13"/>
      <c r="K3" s="19"/>
      <c r="L3" s="27"/>
    </row>
    <row r="4" spans="1:12" x14ac:dyDescent="0.3">
      <c r="A4" s="19"/>
      <c r="B4" s="38" t="s">
        <v>16</v>
      </c>
      <c r="C4" s="38" t="s">
        <v>87</v>
      </c>
      <c r="D4" s="38">
        <v>3</v>
      </c>
      <c r="F4" s="38">
        <f>SUM(D4:E4)</f>
        <v>3</v>
      </c>
      <c r="I4" s="21" t="s">
        <v>92</v>
      </c>
      <c r="J4" s="38" t="s">
        <v>179</v>
      </c>
      <c r="K4" s="19"/>
      <c r="L4" s="27"/>
    </row>
    <row r="5" spans="1:12" x14ac:dyDescent="0.3">
      <c r="A5" s="19"/>
      <c r="B5" s="38" t="s">
        <v>17</v>
      </c>
      <c r="C5" s="38" t="s">
        <v>88</v>
      </c>
      <c r="D5" s="38">
        <v>3</v>
      </c>
      <c r="F5" s="38">
        <f t="shared" ref="F5:F9" si="0">SUM(D5:E5)</f>
        <v>3</v>
      </c>
      <c r="I5" s="21" t="s">
        <v>102</v>
      </c>
      <c r="J5" s="38" t="s">
        <v>179</v>
      </c>
      <c r="K5" s="19"/>
      <c r="L5" s="27"/>
    </row>
    <row r="6" spans="1:12" x14ac:dyDescent="0.3">
      <c r="A6" s="19"/>
      <c r="B6" s="38" t="s">
        <v>361</v>
      </c>
      <c r="C6" s="38" t="s">
        <v>363</v>
      </c>
      <c r="D6" s="38">
        <v>2</v>
      </c>
      <c r="E6" s="38">
        <v>1</v>
      </c>
      <c r="F6" s="38">
        <f t="shared" si="0"/>
        <v>3</v>
      </c>
      <c r="I6" s="21" t="s">
        <v>365</v>
      </c>
      <c r="J6" s="38" t="s">
        <v>179</v>
      </c>
      <c r="K6" s="19"/>
      <c r="L6" s="27"/>
    </row>
    <row r="7" spans="1:12" x14ac:dyDescent="0.3">
      <c r="A7" s="19"/>
      <c r="B7" s="38" t="s">
        <v>360</v>
      </c>
      <c r="C7" s="38" t="s">
        <v>364</v>
      </c>
      <c r="D7" s="38">
        <v>2</v>
      </c>
      <c r="E7" s="38">
        <v>1</v>
      </c>
      <c r="F7" s="38">
        <f t="shared" si="0"/>
        <v>3</v>
      </c>
      <c r="I7" s="21" t="s">
        <v>365</v>
      </c>
      <c r="J7" s="38" t="s">
        <v>179</v>
      </c>
      <c r="K7" s="19"/>
      <c r="L7" s="27"/>
    </row>
    <row r="8" spans="1:12" x14ac:dyDescent="0.3">
      <c r="A8" s="19"/>
      <c r="B8" s="38" t="s">
        <v>554</v>
      </c>
      <c r="C8" s="38" t="s">
        <v>555</v>
      </c>
      <c r="D8" s="38">
        <v>4</v>
      </c>
      <c r="F8" s="38">
        <f t="shared" si="0"/>
        <v>4</v>
      </c>
      <c r="I8" s="21" t="s">
        <v>556</v>
      </c>
      <c r="J8" s="38" t="s">
        <v>179</v>
      </c>
      <c r="K8" s="19"/>
      <c r="L8" s="27"/>
    </row>
    <row r="9" spans="1:12" x14ac:dyDescent="0.3">
      <c r="A9" s="19"/>
      <c r="B9" s="38" t="s">
        <v>557</v>
      </c>
      <c r="C9" s="38" t="s">
        <v>558</v>
      </c>
      <c r="D9" s="38">
        <v>2</v>
      </c>
      <c r="F9" s="38">
        <f t="shared" si="0"/>
        <v>2</v>
      </c>
      <c r="I9" s="21" t="s">
        <v>556</v>
      </c>
      <c r="J9" s="38" t="s">
        <v>179</v>
      </c>
      <c r="K9" s="19"/>
      <c r="L9" s="27"/>
    </row>
    <row r="10" spans="1:12" s="17" customFormat="1" x14ac:dyDescent="0.3">
      <c r="A10" s="57" t="s">
        <v>73</v>
      </c>
      <c r="B10" s="57"/>
      <c r="C10" s="57"/>
      <c r="D10" s="36">
        <f>SUM(D4:D9)</f>
        <v>16</v>
      </c>
      <c r="E10" s="36">
        <v>2</v>
      </c>
      <c r="F10" s="36">
        <f>SUM(D10:E10)</f>
        <v>18</v>
      </c>
      <c r="G10" s="25"/>
      <c r="H10" s="28"/>
      <c r="I10" s="22"/>
      <c r="J10" s="36"/>
      <c r="K10" s="30"/>
      <c r="L10" s="28"/>
    </row>
    <row r="11" spans="1:12" x14ac:dyDescent="0.3">
      <c r="A11" s="19"/>
      <c r="H11" s="27" t="s">
        <v>81</v>
      </c>
      <c r="K11" s="19"/>
      <c r="L11" s="27"/>
    </row>
    <row r="12" spans="1:12" x14ac:dyDescent="0.3">
      <c r="A12" s="19"/>
      <c r="B12" s="38" t="s">
        <v>22</v>
      </c>
      <c r="C12" s="38" t="s">
        <v>95</v>
      </c>
      <c r="D12" s="38">
        <v>2</v>
      </c>
      <c r="F12" s="38">
        <f t="shared" ref="F12:F19" si="1">SUM(D12:E12)</f>
        <v>2</v>
      </c>
      <c r="I12" s="21" t="s">
        <v>92</v>
      </c>
      <c r="J12" s="38" t="s">
        <v>179</v>
      </c>
      <c r="K12" s="19"/>
      <c r="L12" s="27"/>
    </row>
    <row r="13" spans="1:12" x14ac:dyDescent="0.3">
      <c r="A13" s="19"/>
      <c r="B13" s="38" t="s">
        <v>23</v>
      </c>
      <c r="C13" s="38" t="s">
        <v>96</v>
      </c>
      <c r="D13" s="38">
        <v>2</v>
      </c>
      <c r="F13" s="38">
        <f t="shared" si="1"/>
        <v>2</v>
      </c>
      <c r="I13" s="21" t="s">
        <v>92</v>
      </c>
      <c r="J13" s="38" t="s">
        <v>179</v>
      </c>
      <c r="K13" s="19"/>
      <c r="L13" s="27" t="s">
        <v>592</v>
      </c>
    </row>
    <row r="14" spans="1:12" x14ac:dyDescent="0.3">
      <c r="A14" s="19"/>
      <c r="B14" s="38" t="s">
        <v>24</v>
      </c>
      <c r="C14" s="38" t="s">
        <v>170</v>
      </c>
      <c r="D14" s="38">
        <v>1</v>
      </c>
      <c r="F14" s="38">
        <f t="shared" si="1"/>
        <v>1</v>
      </c>
      <c r="I14" s="21" t="s">
        <v>102</v>
      </c>
      <c r="J14" s="38" t="s">
        <v>179</v>
      </c>
      <c r="K14" s="19"/>
      <c r="L14" s="27"/>
    </row>
    <row r="15" spans="1:12" x14ac:dyDescent="0.3">
      <c r="A15" s="19"/>
      <c r="B15" s="38" t="s">
        <v>25</v>
      </c>
      <c r="C15" s="38" t="s">
        <v>171</v>
      </c>
      <c r="D15" s="38">
        <v>2</v>
      </c>
      <c r="F15" s="38">
        <f t="shared" si="1"/>
        <v>2</v>
      </c>
      <c r="I15" s="21" t="s">
        <v>102</v>
      </c>
      <c r="J15" s="38" t="s">
        <v>179</v>
      </c>
      <c r="K15" s="19"/>
      <c r="L15" s="27"/>
    </row>
    <row r="16" spans="1:12" x14ac:dyDescent="0.3">
      <c r="A16" s="19"/>
      <c r="B16" s="38" t="s">
        <v>366</v>
      </c>
      <c r="C16" s="38" t="s">
        <v>368</v>
      </c>
      <c r="D16" s="38">
        <v>2</v>
      </c>
      <c r="E16" s="38">
        <v>1</v>
      </c>
      <c r="F16" s="38">
        <f t="shared" si="1"/>
        <v>3</v>
      </c>
      <c r="I16" s="21" t="s">
        <v>365</v>
      </c>
      <c r="J16" s="38" t="s">
        <v>179</v>
      </c>
      <c r="K16" s="19"/>
      <c r="L16" s="27"/>
    </row>
    <row r="17" spans="1:12" x14ac:dyDescent="0.3">
      <c r="A17" s="19"/>
      <c r="B17" s="38" t="s">
        <v>367</v>
      </c>
      <c r="C17" s="38" t="s">
        <v>369</v>
      </c>
      <c r="D17" s="38">
        <v>2</v>
      </c>
      <c r="E17" s="38">
        <v>1</v>
      </c>
      <c r="F17" s="38">
        <f t="shared" si="1"/>
        <v>3</v>
      </c>
      <c r="I17" s="21" t="s">
        <v>365</v>
      </c>
      <c r="J17" s="38" t="s">
        <v>179</v>
      </c>
      <c r="K17" s="19"/>
      <c r="L17" s="27"/>
    </row>
    <row r="18" spans="1:12" x14ac:dyDescent="0.3">
      <c r="A18" s="19"/>
      <c r="B18" s="38" t="s">
        <v>560</v>
      </c>
      <c r="C18" s="38" t="s">
        <v>561</v>
      </c>
      <c r="D18" s="38">
        <v>3</v>
      </c>
      <c r="F18" s="38">
        <f t="shared" si="1"/>
        <v>3</v>
      </c>
      <c r="I18" s="21" t="s">
        <v>556</v>
      </c>
      <c r="J18" s="38" t="s">
        <v>179</v>
      </c>
      <c r="K18" s="19"/>
      <c r="L18" s="27"/>
    </row>
    <row r="19" spans="1:12" x14ac:dyDescent="0.3">
      <c r="A19" s="19"/>
      <c r="B19" s="38" t="s">
        <v>29</v>
      </c>
      <c r="C19" s="38" t="s">
        <v>447</v>
      </c>
      <c r="D19" s="38">
        <v>2</v>
      </c>
      <c r="F19" s="38">
        <f t="shared" si="1"/>
        <v>2</v>
      </c>
      <c r="I19" s="21" t="s">
        <v>92</v>
      </c>
      <c r="J19" s="38" t="s">
        <v>179</v>
      </c>
      <c r="K19" s="19"/>
      <c r="L19" s="27"/>
    </row>
    <row r="20" spans="1:12" s="17" customFormat="1" x14ac:dyDescent="0.3">
      <c r="A20" s="57" t="s">
        <v>73</v>
      </c>
      <c r="B20" s="57"/>
      <c r="C20" s="57"/>
      <c r="D20" s="36">
        <f>SUM(D12:D19)</f>
        <v>16</v>
      </c>
      <c r="E20" s="36">
        <f>SUM(E16:E18)</f>
        <v>2</v>
      </c>
      <c r="F20" s="36">
        <f>SUM(D20:E20)</f>
        <v>18</v>
      </c>
      <c r="G20" s="25"/>
      <c r="H20" s="28"/>
      <c r="I20" s="22"/>
      <c r="J20" s="36"/>
      <c r="K20" s="30"/>
      <c r="L20" s="28"/>
    </row>
    <row r="21" spans="1:12" x14ac:dyDescent="0.3">
      <c r="A21" s="19"/>
      <c r="G21" s="24" t="s">
        <v>83</v>
      </c>
      <c r="H21" s="27" t="s">
        <v>14</v>
      </c>
      <c r="K21" s="19"/>
      <c r="L21" s="27"/>
    </row>
    <row r="22" spans="1:12" x14ac:dyDescent="0.3">
      <c r="A22" s="19"/>
      <c r="B22" s="38" t="s">
        <v>30</v>
      </c>
      <c r="C22" s="38" t="s">
        <v>103</v>
      </c>
      <c r="D22" s="38">
        <v>3</v>
      </c>
      <c r="F22" s="38">
        <f t="shared" ref="F22:F26" si="2">SUM(D22:E22)</f>
        <v>3</v>
      </c>
      <c r="I22" s="21" t="s">
        <v>92</v>
      </c>
      <c r="J22" s="38" t="s">
        <v>179</v>
      </c>
      <c r="K22" s="19"/>
      <c r="L22" s="27" t="s">
        <v>594</v>
      </c>
    </row>
    <row r="23" spans="1:12" x14ac:dyDescent="0.3">
      <c r="A23" s="19"/>
      <c r="B23" s="38" t="s">
        <v>58</v>
      </c>
      <c r="C23" s="38" t="s">
        <v>324</v>
      </c>
      <c r="D23" s="38">
        <v>2</v>
      </c>
      <c r="F23" s="38">
        <f t="shared" si="2"/>
        <v>2</v>
      </c>
      <c r="I23" s="21" t="s">
        <v>92</v>
      </c>
      <c r="J23" s="38" t="s">
        <v>179</v>
      </c>
      <c r="K23" s="19"/>
      <c r="L23" s="27"/>
    </row>
    <row r="24" spans="1:12" x14ac:dyDescent="0.3">
      <c r="A24" s="19"/>
      <c r="B24" s="38" t="s">
        <v>370</v>
      </c>
      <c r="C24" s="38" t="s">
        <v>375</v>
      </c>
      <c r="D24" s="38">
        <v>3</v>
      </c>
      <c r="F24" s="38">
        <f t="shared" si="2"/>
        <v>3</v>
      </c>
      <c r="I24" s="21" t="s">
        <v>365</v>
      </c>
      <c r="J24" s="38" t="s">
        <v>179</v>
      </c>
      <c r="K24" s="19"/>
      <c r="L24" s="27"/>
    </row>
    <row r="25" spans="1:12" x14ac:dyDescent="0.3">
      <c r="A25" s="19"/>
      <c r="B25" s="38" t="s">
        <v>371</v>
      </c>
      <c r="C25" s="38" t="s">
        <v>376</v>
      </c>
      <c r="D25" s="38">
        <v>3</v>
      </c>
      <c r="E25" s="38">
        <v>1</v>
      </c>
      <c r="F25" s="38">
        <f t="shared" si="2"/>
        <v>4</v>
      </c>
      <c r="I25" s="21" t="s">
        <v>365</v>
      </c>
      <c r="J25" s="38" t="s">
        <v>179</v>
      </c>
      <c r="K25" s="19"/>
      <c r="L25" s="27"/>
    </row>
    <row r="26" spans="1:12" x14ac:dyDescent="0.3">
      <c r="A26" s="19"/>
      <c r="B26" s="38" t="s">
        <v>562</v>
      </c>
      <c r="C26" s="38" t="s">
        <v>563</v>
      </c>
      <c r="D26" s="38">
        <v>3</v>
      </c>
      <c r="F26" s="38">
        <f t="shared" si="2"/>
        <v>3</v>
      </c>
      <c r="I26" s="21" t="s">
        <v>556</v>
      </c>
      <c r="J26" s="38" t="s">
        <v>179</v>
      </c>
      <c r="K26" s="19"/>
      <c r="L26" s="27"/>
    </row>
    <row r="27" spans="1:12" s="17" customFormat="1" x14ac:dyDescent="0.3">
      <c r="A27" s="57" t="s">
        <v>73</v>
      </c>
      <c r="B27" s="57"/>
      <c r="C27" s="57"/>
      <c r="D27" s="36">
        <f>SUM(D22:D26)</f>
        <v>14</v>
      </c>
      <c r="E27" s="36">
        <v>1</v>
      </c>
      <c r="F27" s="36">
        <f>SUM(D27:E27)</f>
        <v>15</v>
      </c>
      <c r="G27" s="25"/>
      <c r="H27" s="28"/>
      <c r="I27" s="22"/>
      <c r="J27" s="36"/>
      <c r="K27" s="30"/>
      <c r="L27" s="28"/>
    </row>
    <row r="28" spans="1:12" x14ac:dyDescent="0.3">
      <c r="A28" s="19"/>
      <c r="H28" s="27" t="s">
        <v>81</v>
      </c>
      <c r="K28" s="19"/>
      <c r="L28" s="27"/>
    </row>
    <row r="29" spans="1:12" x14ac:dyDescent="0.3">
      <c r="A29" s="19"/>
      <c r="B29" s="38" t="s">
        <v>35</v>
      </c>
      <c r="C29" s="38" t="s">
        <v>110</v>
      </c>
      <c r="D29" s="38">
        <v>3</v>
      </c>
      <c r="F29" s="38">
        <f t="shared" ref="F29:F34" si="3">SUM(D29:E29)</f>
        <v>3</v>
      </c>
      <c r="I29" s="21" t="s">
        <v>92</v>
      </c>
      <c r="J29" s="38" t="s">
        <v>179</v>
      </c>
      <c r="K29" s="19"/>
      <c r="L29" s="27" t="s">
        <v>595</v>
      </c>
    </row>
    <row r="30" spans="1:12" x14ac:dyDescent="0.3">
      <c r="A30" s="19"/>
      <c r="B30" s="38" t="s">
        <v>36</v>
      </c>
      <c r="C30" s="38" t="s">
        <v>316</v>
      </c>
      <c r="D30" s="38">
        <v>3</v>
      </c>
      <c r="F30" s="38">
        <f t="shared" si="3"/>
        <v>3</v>
      </c>
      <c r="I30" s="21" t="s">
        <v>92</v>
      </c>
      <c r="J30" s="38" t="s">
        <v>179</v>
      </c>
      <c r="K30" s="19"/>
      <c r="L30" s="27"/>
    </row>
    <row r="31" spans="1:12" x14ac:dyDescent="0.3">
      <c r="A31" s="19"/>
      <c r="B31" s="38" t="s">
        <v>372</v>
      </c>
      <c r="C31" s="38" t="s">
        <v>377</v>
      </c>
      <c r="D31" s="38">
        <v>2</v>
      </c>
      <c r="E31" s="38">
        <v>1</v>
      </c>
      <c r="F31" s="38">
        <f t="shared" si="3"/>
        <v>3</v>
      </c>
      <c r="I31" s="21" t="s">
        <v>365</v>
      </c>
      <c r="J31" s="38" t="s">
        <v>179</v>
      </c>
      <c r="K31" s="19"/>
      <c r="L31" s="27"/>
    </row>
    <row r="32" spans="1:12" x14ac:dyDescent="0.3">
      <c r="A32" s="19"/>
      <c r="B32" s="38" t="s">
        <v>373</v>
      </c>
      <c r="C32" s="38" t="s">
        <v>378</v>
      </c>
      <c r="D32" s="38">
        <v>3</v>
      </c>
      <c r="F32" s="38">
        <f t="shared" si="3"/>
        <v>3</v>
      </c>
      <c r="I32" s="21" t="s">
        <v>365</v>
      </c>
      <c r="J32" s="38" t="s">
        <v>179</v>
      </c>
      <c r="K32" s="19"/>
      <c r="L32" s="27"/>
    </row>
    <row r="33" spans="1:12" x14ac:dyDescent="0.3">
      <c r="A33" s="19"/>
      <c r="B33" s="38" t="s">
        <v>578</v>
      </c>
      <c r="C33" s="38" t="s">
        <v>588</v>
      </c>
      <c r="D33" s="38">
        <v>3</v>
      </c>
      <c r="F33" s="38">
        <f t="shared" si="3"/>
        <v>3</v>
      </c>
      <c r="I33" s="21" t="s">
        <v>556</v>
      </c>
      <c r="J33" s="38" t="s">
        <v>179</v>
      </c>
      <c r="K33" s="19"/>
      <c r="L33" s="27"/>
    </row>
    <row r="34" spans="1:12" x14ac:dyDescent="0.3">
      <c r="A34" s="19"/>
      <c r="B34" s="38" t="s">
        <v>564</v>
      </c>
      <c r="C34" s="38" t="s">
        <v>565</v>
      </c>
      <c r="D34" s="38">
        <v>4</v>
      </c>
      <c r="F34" s="38">
        <f t="shared" si="3"/>
        <v>4</v>
      </c>
      <c r="I34" s="21" t="s">
        <v>556</v>
      </c>
      <c r="J34" s="38" t="s">
        <v>179</v>
      </c>
      <c r="K34" s="19"/>
      <c r="L34" s="27"/>
    </row>
    <row r="35" spans="1:12" s="17" customFormat="1" x14ac:dyDescent="0.3">
      <c r="A35" s="57" t="s">
        <v>73</v>
      </c>
      <c r="B35" s="57"/>
      <c r="C35" s="57"/>
      <c r="D35" s="36">
        <f>SUM(D29:D34)</f>
        <v>18</v>
      </c>
      <c r="E35" s="36">
        <f>SUM(E31:E34)</f>
        <v>1</v>
      </c>
      <c r="F35" s="36">
        <f>SUM(D35:E35)</f>
        <v>19</v>
      </c>
      <c r="G35" s="25"/>
      <c r="H35" s="28"/>
      <c r="I35" s="22"/>
      <c r="J35" s="36"/>
      <c r="K35" s="30"/>
      <c r="L35" s="28"/>
    </row>
    <row r="36" spans="1:12" x14ac:dyDescent="0.3">
      <c r="A36" s="19"/>
      <c r="G36" s="24" t="s">
        <v>84</v>
      </c>
      <c r="H36" s="27" t="s">
        <v>14</v>
      </c>
      <c r="K36" s="19"/>
      <c r="L36" s="27"/>
    </row>
    <row r="37" spans="1:12" x14ac:dyDescent="0.3">
      <c r="A37" s="19"/>
      <c r="B37" s="38" t="s">
        <v>41</v>
      </c>
      <c r="C37" s="38" t="s">
        <v>330</v>
      </c>
      <c r="D37" s="38">
        <v>3</v>
      </c>
      <c r="F37" s="38">
        <f t="shared" ref="F37:F42" si="4">SUM(D37:E37)</f>
        <v>3</v>
      </c>
      <c r="I37" s="21" t="s">
        <v>92</v>
      </c>
      <c r="J37" s="38" t="s">
        <v>179</v>
      </c>
      <c r="K37" s="19"/>
      <c r="L37" s="27" t="s">
        <v>596</v>
      </c>
    </row>
    <row r="38" spans="1:12" x14ac:dyDescent="0.3">
      <c r="A38" s="19"/>
      <c r="B38" s="38" t="s">
        <v>42</v>
      </c>
      <c r="C38" s="38" t="s">
        <v>117</v>
      </c>
      <c r="D38" s="38">
        <v>3</v>
      </c>
      <c r="F38" s="38">
        <f t="shared" si="4"/>
        <v>3</v>
      </c>
      <c r="I38" s="21" t="s">
        <v>92</v>
      </c>
      <c r="J38" s="38" t="s">
        <v>179</v>
      </c>
      <c r="K38" s="19"/>
      <c r="L38" s="27" t="s">
        <v>598</v>
      </c>
    </row>
    <row r="39" spans="1:12" x14ac:dyDescent="0.3">
      <c r="A39" s="19"/>
      <c r="B39" s="38" t="s">
        <v>60</v>
      </c>
      <c r="C39" s="38" t="s">
        <v>327</v>
      </c>
      <c r="D39" s="38">
        <v>2</v>
      </c>
      <c r="F39" s="38">
        <f t="shared" si="4"/>
        <v>2</v>
      </c>
      <c r="I39" s="21" t="s">
        <v>102</v>
      </c>
      <c r="J39" s="38" t="s">
        <v>179</v>
      </c>
      <c r="K39" s="19"/>
      <c r="L39" s="27"/>
    </row>
    <row r="40" spans="1:12" x14ac:dyDescent="0.3">
      <c r="A40" s="19"/>
      <c r="B40" s="38" t="s">
        <v>31</v>
      </c>
      <c r="C40" s="38" t="s">
        <v>104</v>
      </c>
      <c r="D40" s="38">
        <v>3</v>
      </c>
      <c r="F40" s="38">
        <f t="shared" si="4"/>
        <v>3</v>
      </c>
      <c r="I40" s="21" t="s">
        <v>92</v>
      </c>
      <c r="J40" s="38" t="s">
        <v>179</v>
      </c>
      <c r="K40" s="19"/>
      <c r="L40" s="27"/>
    </row>
    <row r="41" spans="1:12" x14ac:dyDescent="0.3">
      <c r="A41" s="19"/>
      <c r="B41" s="38" t="s">
        <v>379</v>
      </c>
      <c r="C41" s="38" t="s">
        <v>381</v>
      </c>
      <c r="D41" s="38">
        <v>2</v>
      </c>
      <c r="E41" s="38">
        <v>1</v>
      </c>
      <c r="F41" s="38">
        <f t="shared" si="4"/>
        <v>3</v>
      </c>
      <c r="I41" s="21" t="s">
        <v>365</v>
      </c>
      <c r="J41" s="38" t="s">
        <v>179</v>
      </c>
      <c r="K41" s="19"/>
      <c r="L41" s="27"/>
    </row>
    <row r="42" spans="1:12" x14ac:dyDescent="0.3">
      <c r="A42" s="19"/>
      <c r="B42" s="38" t="s">
        <v>568</v>
      </c>
      <c r="C42" s="38" t="s">
        <v>569</v>
      </c>
      <c r="D42" s="38">
        <v>3</v>
      </c>
      <c r="F42" s="38">
        <f t="shared" si="4"/>
        <v>3</v>
      </c>
      <c r="I42" s="21" t="s">
        <v>556</v>
      </c>
      <c r="J42" s="38" t="s">
        <v>179</v>
      </c>
      <c r="K42" s="19"/>
      <c r="L42" s="27"/>
    </row>
    <row r="43" spans="1:12" s="17" customFormat="1" x14ac:dyDescent="0.3">
      <c r="A43" s="57" t="s">
        <v>73</v>
      </c>
      <c r="B43" s="57"/>
      <c r="C43" s="57"/>
      <c r="D43" s="36">
        <f>SUM(D37:D42)</f>
        <v>16</v>
      </c>
      <c r="E43" s="36">
        <v>1</v>
      </c>
      <c r="F43" s="36">
        <f>SUM(D43:E43)</f>
        <v>17</v>
      </c>
      <c r="G43" s="25"/>
      <c r="H43" s="28"/>
      <c r="I43" s="22"/>
      <c r="J43" s="36"/>
      <c r="K43" s="30"/>
      <c r="L43" s="28"/>
    </row>
    <row r="44" spans="1:12" x14ac:dyDescent="0.3">
      <c r="A44" s="19"/>
      <c r="H44" s="27" t="s">
        <v>81</v>
      </c>
      <c r="K44" s="19"/>
      <c r="L44" s="27"/>
    </row>
    <row r="45" spans="1:12" x14ac:dyDescent="0.3">
      <c r="A45" s="19"/>
      <c r="B45" s="38" t="s">
        <v>570</v>
      </c>
      <c r="C45" s="38" t="s">
        <v>571</v>
      </c>
      <c r="D45" s="38">
        <v>3</v>
      </c>
      <c r="F45" s="38">
        <f t="shared" ref="F45:F50" si="5">SUM(D45:E45)</f>
        <v>3</v>
      </c>
      <c r="I45" s="21" t="s">
        <v>92</v>
      </c>
      <c r="J45" s="38" t="s">
        <v>179</v>
      </c>
      <c r="K45" s="19"/>
      <c r="L45" s="27" t="s">
        <v>600</v>
      </c>
    </row>
    <row r="46" spans="1:12" x14ac:dyDescent="0.3">
      <c r="A46" s="19"/>
      <c r="B46" s="38" t="s">
        <v>383</v>
      </c>
      <c r="C46" s="38" t="s">
        <v>386</v>
      </c>
      <c r="D46" s="38">
        <v>3</v>
      </c>
      <c r="F46" s="38">
        <f t="shared" si="5"/>
        <v>3</v>
      </c>
      <c r="I46" s="21" t="s">
        <v>92</v>
      </c>
      <c r="J46" s="38" t="s">
        <v>179</v>
      </c>
      <c r="K46" s="19"/>
      <c r="L46" s="27"/>
    </row>
    <row r="47" spans="1:12" x14ac:dyDescent="0.3">
      <c r="A47" s="19"/>
      <c r="B47" s="38" t="s">
        <v>49</v>
      </c>
      <c r="C47" s="38" t="s">
        <v>338</v>
      </c>
      <c r="D47" s="38">
        <v>3</v>
      </c>
      <c r="F47" s="38">
        <f t="shared" si="5"/>
        <v>3</v>
      </c>
      <c r="I47" s="21" t="s">
        <v>92</v>
      </c>
      <c r="J47" s="38" t="s">
        <v>179</v>
      </c>
      <c r="K47" s="19"/>
      <c r="L47" s="27" t="s">
        <v>597</v>
      </c>
    </row>
    <row r="48" spans="1:12" x14ac:dyDescent="0.3">
      <c r="A48" s="19"/>
      <c r="B48" s="38" t="s">
        <v>384</v>
      </c>
      <c r="C48" s="38" t="s">
        <v>387</v>
      </c>
      <c r="D48" s="38">
        <v>2</v>
      </c>
      <c r="E48" s="38">
        <v>1</v>
      </c>
      <c r="F48" s="38">
        <f t="shared" si="5"/>
        <v>3</v>
      </c>
      <c r="I48" s="21" t="s">
        <v>365</v>
      </c>
      <c r="J48" s="38" t="s">
        <v>179</v>
      </c>
      <c r="K48" s="19"/>
      <c r="L48" s="27"/>
    </row>
    <row r="49" spans="1:12" x14ac:dyDescent="0.3">
      <c r="A49" s="19"/>
      <c r="B49" s="38" t="s">
        <v>579</v>
      </c>
      <c r="C49" s="38" t="s">
        <v>581</v>
      </c>
      <c r="D49" s="38">
        <v>3</v>
      </c>
      <c r="F49" s="38">
        <f t="shared" si="5"/>
        <v>3</v>
      </c>
      <c r="I49" s="21" t="s">
        <v>556</v>
      </c>
      <c r="J49" s="38" t="s">
        <v>179</v>
      </c>
      <c r="K49" s="19"/>
      <c r="L49" s="27"/>
    </row>
    <row r="50" spans="1:12" ht="14.25" customHeight="1" x14ac:dyDescent="0.3">
      <c r="A50" s="19"/>
      <c r="B50" s="38" t="s">
        <v>572</v>
      </c>
      <c r="C50" s="38" t="s">
        <v>573</v>
      </c>
      <c r="D50" s="38">
        <v>3</v>
      </c>
      <c r="F50" s="38">
        <f t="shared" si="5"/>
        <v>3</v>
      </c>
      <c r="I50" s="21" t="s">
        <v>556</v>
      </c>
      <c r="J50" s="38" t="s">
        <v>179</v>
      </c>
      <c r="K50" s="19"/>
      <c r="L50" s="27"/>
    </row>
    <row r="51" spans="1:12" s="17" customFormat="1" x14ac:dyDescent="0.3">
      <c r="A51" s="57" t="s">
        <v>73</v>
      </c>
      <c r="B51" s="57"/>
      <c r="C51" s="57"/>
      <c r="D51" s="36">
        <f>SUM(D45:D50)</f>
        <v>17</v>
      </c>
      <c r="E51" s="36">
        <f>SUM(E48:E50)</f>
        <v>1</v>
      </c>
      <c r="F51" s="36">
        <f>SUM(D51:E51)</f>
        <v>18</v>
      </c>
      <c r="G51" s="25"/>
      <c r="H51" s="28"/>
      <c r="I51" s="22"/>
      <c r="J51" s="36"/>
      <c r="K51" s="30"/>
      <c r="L51" s="28"/>
    </row>
    <row r="52" spans="1:12" x14ac:dyDescent="0.3">
      <c r="A52" s="7"/>
      <c r="H52" s="27" t="s">
        <v>85</v>
      </c>
    </row>
    <row r="53" spans="1:12" x14ac:dyDescent="0.3">
      <c r="A53" s="7"/>
      <c r="B53" s="38" t="s">
        <v>53</v>
      </c>
      <c r="C53" s="38" t="s">
        <v>126</v>
      </c>
      <c r="D53" s="38">
        <v>6</v>
      </c>
      <c r="F53" s="38">
        <f t="shared" ref="F53" si="6">SUM(D53:E53)</f>
        <v>6</v>
      </c>
      <c r="I53" s="21" t="s">
        <v>92</v>
      </c>
      <c r="J53" s="38" t="s">
        <v>179</v>
      </c>
      <c r="L53" s="2" t="s">
        <v>599</v>
      </c>
    </row>
    <row r="54" spans="1:12" s="17" customFormat="1" x14ac:dyDescent="0.3">
      <c r="A54" s="55" t="s">
        <v>73</v>
      </c>
      <c r="B54" s="55"/>
      <c r="C54" s="55"/>
      <c r="D54" s="36">
        <f>SUM(D53)</f>
        <v>6</v>
      </c>
      <c r="E54" s="36"/>
      <c r="F54" s="36"/>
      <c r="G54" s="25"/>
      <c r="H54" s="28"/>
      <c r="I54" s="22"/>
      <c r="J54" s="36"/>
      <c r="L54" s="29"/>
    </row>
    <row r="55" spans="1:12" x14ac:dyDescent="0.3">
      <c r="G55" s="24" t="s">
        <v>158</v>
      </c>
      <c r="H55" s="27" t="s">
        <v>14</v>
      </c>
    </row>
    <row r="56" spans="1:12" x14ac:dyDescent="0.3">
      <c r="B56" s="38" t="s">
        <v>54</v>
      </c>
      <c r="C56" s="38" t="s">
        <v>80</v>
      </c>
      <c r="D56" s="38">
        <v>3</v>
      </c>
      <c r="F56" s="38">
        <f t="shared" ref="F56:F61" si="7">SUM(D56:E56)</f>
        <v>3</v>
      </c>
      <c r="I56" s="21" t="s">
        <v>92</v>
      </c>
      <c r="J56" s="38" t="s">
        <v>179</v>
      </c>
      <c r="L56" s="2" t="s">
        <v>591</v>
      </c>
    </row>
    <row r="57" spans="1:12" x14ac:dyDescent="0.3">
      <c r="B57" s="38" t="s">
        <v>55</v>
      </c>
      <c r="C57" s="38" t="s">
        <v>350</v>
      </c>
      <c r="D57" s="38">
        <v>3</v>
      </c>
      <c r="F57" s="38">
        <f t="shared" si="7"/>
        <v>3</v>
      </c>
      <c r="I57" s="21" t="s">
        <v>92</v>
      </c>
      <c r="J57" s="38" t="s">
        <v>179</v>
      </c>
      <c r="L57" s="2" t="s">
        <v>591</v>
      </c>
    </row>
    <row r="58" spans="1:12" x14ac:dyDescent="0.3">
      <c r="B58" s="38" t="s">
        <v>390</v>
      </c>
      <c r="C58" s="38" t="s">
        <v>393</v>
      </c>
      <c r="D58" s="38">
        <v>2</v>
      </c>
      <c r="E58" s="38">
        <v>1</v>
      </c>
      <c r="F58" s="38">
        <f t="shared" si="7"/>
        <v>3</v>
      </c>
      <c r="I58" s="21" t="s">
        <v>365</v>
      </c>
      <c r="J58" s="38" t="s">
        <v>179</v>
      </c>
    </row>
    <row r="59" spans="1:12" x14ac:dyDescent="0.3">
      <c r="B59" s="38" t="s">
        <v>575</v>
      </c>
      <c r="C59" s="38" t="s">
        <v>576</v>
      </c>
      <c r="D59" s="38">
        <v>3</v>
      </c>
      <c r="F59" s="38">
        <f t="shared" si="7"/>
        <v>3</v>
      </c>
      <c r="I59" s="21" t="s">
        <v>556</v>
      </c>
      <c r="J59" s="38" t="s">
        <v>179</v>
      </c>
    </row>
    <row r="60" spans="1:12" x14ac:dyDescent="0.3">
      <c r="B60" s="38" t="s">
        <v>579</v>
      </c>
      <c r="C60" s="38" t="s">
        <v>567</v>
      </c>
      <c r="D60" s="38">
        <v>3</v>
      </c>
      <c r="F60" s="38">
        <f t="shared" si="7"/>
        <v>3</v>
      </c>
      <c r="I60" s="21" t="s">
        <v>556</v>
      </c>
      <c r="J60" s="38" t="s">
        <v>179</v>
      </c>
    </row>
    <row r="61" spans="1:12" x14ac:dyDescent="0.3">
      <c r="B61" s="38" t="s">
        <v>385</v>
      </c>
      <c r="C61" s="38" t="s">
        <v>388</v>
      </c>
      <c r="D61" s="38">
        <v>2</v>
      </c>
      <c r="E61" s="38">
        <v>1</v>
      </c>
      <c r="F61" s="38">
        <f t="shared" si="7"/>
        <v>3</v>
      </c>
      <c r="I61" s="21" t="s">
        <v>365</v>
      </c>
      <c r="J61" s="38" t="s">
        <v>179</v>
      </c>
    </row>
    <row r="62" spans="1:12" s="17" customFormat="1" x14ac:dyDescent="0.3">
      <c r="A62" s="55" t="s">
        <v>73</v>
      </c>
      <c r="B62" s="55"/>
      <c r="C62" s="55"/>
      <c r="D62" s="36">
        <f>SUM(D56:D61)</f>
        <v>16</v>
      </c>
      <c r="E62" s="36">
        <v>2</v>
      </c>
      <c r="F62" s="36">
        <f>SUM(D62:E62)</f>
        <v>18</v>
      </c>
      <c r="G62" s="25"/>
      <c r="H62" s="28"/>
      <c r="I62" s="22"/>
      <c r="J62" s="36"/>
      <c r="L62" s="29"/>
    </row>
    <row r="63" spans="1:12" x14ac:dyDescent="0.3">
      <c r="H63" s="27" t="s">
        <v>215</v>
      </c>
    </row>
    <row r="64" spans="1:12" x14ac:dyDescent="0.3">
      <c r="B64" s="38" t="s">
        <v>61</v>
      </c>
      <c r="C64" s="38" t="s">
        <v>72</v>
      </c>
      <c r="D64" s="38">
        <v>2</v>
      </c>
      <c r="F64" s="38">
        <f t="shared" ref="F64:F68" si="8">SUM(D64:E64)</f>
        <v>2</v>
      </c>
      <c r="I64" s="21" t="s">
        <v>92</v>
      </c>
      <c r="J64" s="38" t="s">
        <v>179</v>
      </c>
      <c r="L64" s="2" t="s">
        <v>591</v>
      </c>
    </row>
    <row r="65" spans="1:12" x14ac:dyDescent="0.3">
      <c r="B65" s="38" t="s">
        <v>62</v>
      </c>
      <c r="C65" s="38" t="s">
        <v>355</v>
      </c>
      <c r="D65" s="38">
        <v>3</v>
      </c>
      <c r="F65" s="38">
        <f t="shared" si="8"/>
        <v>3</v>
      </c>
      <c r="I65" s="21" t="s">
        <v>92</v>
      </c>
      <c r="J65" s="38" t="s">
        <v>179</v>
      </c>
      <c r="L65" s="2" t="s">
        <v>591</v>
      </c>
    </row>
    <row r="66" spans="1:12" x14ac:dyDescent="0.3">
      <c r="B66" s="38" t="s">
        <v>391</v>
      </c>
      <c r="C66" s="38" t="s">
        <v>392</v>
      </c>
      <c r="D66" s="38">
        <v>4</v>
      </c>
      <c r="F66" s="38">
        <f t="shared" si="8"/>
        <v>4</v>
      </c>
      <c r="I66" s="21" t="s">
        <v>365</v>
      </c>
      <c r="J66" s="38" t="s">
        <v>179</v>
      </c>
    </row>
    <row r="67" spans="1:12" x14ac:dyDescent="0.3">
      <c r="B67" s="38" t="s">
        <v>37</v>
      </c>
      <c r="C67" s="38" t="s">
        <v>317</v>
      </c>
      <c r="D67" s="38">
        <v>3</v>
      </c>
      <c r="F67" s="38">
        <f t="shared" si="8"/>
        <v>3</v>
      </c>
      <c r="I67" s="21" t="s">
        <v>102</v>
      </c>
      <c r="J67" s="38" t="s">
        <v>179</v>
      </c>
    </row>
    <row r="68" spans="1:12" x14ac:dyDescent="0.3">
      <c r="B68" s="38" t="s">
        <v>580</v>
      </c>
      <c r="C68" s="38" t="s">
        <v>582</v>
      </c>
      <c r="D68" s="38">
        <v>3</v>
      </c>
      <c r="F68" s="38">
        <f t="shared" si="8"/>
        <v>3</v>
      </c>
      <c r="I68" s="21" t="s">
        <v>556</v>
      </c>
      <c r="J68" s="38" t="s">
        <v>179</v>
      </c>
    </row>
    <row r="69" spans="1:12" s="17" customFormat="1" x14ac:dyDescent="0.3">
      <c r="A69" s="55" t="s">
        <v>73</v>
      </c>
      <c r="B69" s="55"/>
      <c r="C69" s="55"/>
      <c r="D69" s="36">
        <f>SUM(D64:D68)</f>
        <v>15</v>
      </c>
      <c r="E69" s="36"/>
      <c r="F69" s="36"/>
      <c r="G69" s="25"/>
      <c r="H69" s="28"/>
      <c r="I69" s="22"/>
      <c r="J69" s="36"/>
      <c r="L69" s="29"/>
    </row>
    <row r="71" spans="1:12" x14ac:dyDescent="0.3">
      <c r="B71" s="38" t="s">
        <v>603</v>
      </c>
    </row>
    <row r="72" spans="1:12" x14ac:dyDescent="0.3">
      <c r="A72" s="38" t="s">
        <v>608</v>
      </c>
      <c r="B72" s="38">
        <f>SUMIF(I2:I68,I39,F2:F68)</f>
        <v>11</v>
      </c>
    </row>
    <row r="73" spans="1:12" x14ac:dyDescent="0.3">
      <c r="A73" s="38" t="s">
        <v>624</v>
      </c>
      <c r="B73" s="38">
        <f>SUMIF(I2:I69,I66,F2:F69)</f>
        <v>41</v>
      </c>
    </row>
    <row r="74" spans="1:12" x14ac:dyDescent="0.3">
      <c r="A74" s="38" t="s">
        <v>630</v>
      </c>
      <c r="B74" s="38">
        <f>SUMIF(I2:I69,I60,F2:F69)</f>
        <v>37</v>
      </c>
    </row>
    <row r="75" spans="1:12" x14ac:dyDescent="0.3">
      <c r="A75" s="38" t="s">
        <v>92</v>
      </c>
      <c r="B75" s="38">
        <f>SUMIF(I2:I69,I64,F2:F69)</f>
        <v>55</v>
      </c>
    </row>
    <row r="76" spans="1:12" x14ac:dyDescent="0.3">
      <c r="A76" s="38" t="s">
        <v>610</v>
      </c>
      <c r="B76" s="38">
        <f>SUM(B72:B75)</f>
        <v>144</v>
      </c>
    </row>
    <row r="77" spans="1:12" x14ac:dyDescent="0.3">
      <c r="A77" s="38"/>
    </row>
    <row r="78" spans="1:12" x14ac:dyDescent="0.3">
      <c r="A78" s="38"/>
    </row>
    <row r="79" spans="1:12" x14ac:dyDescent="0.3">
      <c r="A79" s="38" t="s">
        <v>604</v>
      </c>
    </row>
    <row r="80" spans="1:12" x14ac:dyDescent="0.3">
      <c r="A80" s="38" t="s">
        <v>605</v>
      </c>
      <c r="B80" s="38" t="s">
        <v>606</v>
      </c>
    </row>
    <row r="81" spans="1:2" x14ac:dyDescent="0.3">
      <c r="A81" s="38" t="s">
        <v>607</v>
      </c>
      <c r="B81" s="38" t="s">
        <v>606</v>
      </c>
    </row>
  </sheetData>
  <mergeCells count="11">
    <mergeCell ref="D1:F1"/>
    <mergeCell ref="A51:C51"/>
    <mergeCell ref="A54:C54"/>
    <mergeCell ref="A62:C62"/>
    <mergeCell ref="A69:C69"/>
    <mergeCell ref="D2:F2"/>
    <mergeCell ref="A10:C10"/>
    <mergeCell ref="A20:C20"/>
    <mergeCell ref="A27:C27"/>
    <mergeCell ref="A35:C35"/>
    <mergeCell ref="A43:C4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topLeftCell="A67" workbookViewId="0">
      <selection activeCell="A78" sqref="A78"/>
    </sheetView>
  </sheetViews>
  <sheetFormatPr defaultRowHeight="14.4" x14ac:dyDescent="0.3"/>
  <cols>
    <col min="2" max="2" width="12.109375" bestFit="1" customWidth="1"/>
    <col min="3" max="3" width="44.88671875" bestFit="1" customWidth="1"/>
    <col min="4" max="4" width="9.33203125" customWidth="1"/>
    <col min="5" max="5" width="9.6640625" customWidth="1"/>
    <col min="6" max="6" width="12.5546875" customWidth="1"/>
    <col min="7" max="7" width="10.109375" style="1" bestFit="1" customWidth="1"/>
    <col min="8" max="8" width="14.88671875" style="2" bestFit="1" customWidth="1"/>
    <col min="9" max="9" width="30.44140625" style="3" bestFit="1" customWidth="1"/>
    <col min="10" max="10" width="39.109375" bestFit="1" customWidth="1"/>
    <col min="11" max="11" width="5.6640625" bestFit="1" customWidth="1"/>
    <col min="12" max="12" width="158.88671875" style="32" bestFit="1" customWidth="1"/>
  </cols>
  <sheetData>
    <row r="1" spans="1:12" x14ac:dyDescent="0.3">
      <c r="A1" s="19" t="s">
        <v>0</v>
      </c>
      <c r="B1" s="19" t="s">
        <v>1</v>
      </c>
      <c r="C1" s="19" t="s">
        <v>2</v>
      </c>
      <c r="D1" s="58" t="s">
        <v>3</v>
      </c>
      <c r="E1" s="58"/>
      <c r="F1" s="58"/>
      <c r="G1" s="24" t="s">
        <v>4</v>
      </c>
      <c r="H1" s="27" t="s">
        <v>5</v>
      </c>
      <c r="I1" s="21" t="s">
        <v>6</v>
      </c>
      <c r="J1" s="19" t="s">
        <v>7</v>
      </c>
      <c r="K1" s="19" t="s">
        <v>8</v>
      </c>
      <c r="L1" s="32" t="s">
        <v>9</v>
      </c>
    </row>
    <row r="2" spans="1:12" x14ac:dyDescent="0.3">
      <c r="A2" s="11" t="s">
        <v>586</v>
      </c>
      <c r="B2" s="11" t="s">
        <v>10</v>
      </c>
      <c r="C2" s="11" t="s">
        <v>11</v>
      </c>
      <c r="D2" s="59" t="s">
        <v>12</v>
      </c>
      <c r="E2" s="59"/>
      <c r="F2" s="59"/>
      <c r="G2" s="12" t="s">
        <v>13</v>
      </c>
      <c r="H2" s="13" t="s">
        <v>14</v>
      </c>
      <c r="I2" s="21"/>
      <c r="J2" s="19"/>
      <c r="K2" s="19"/>
    </row>
    <row r="3" spans="1:12" x14ac:dyDescent="0.3">
      <c r="A3" s="11"/>
      <c r="B3" s="11"/>
      <c r="C3" s="11"/>
      <c r="D3" s="11" t="s">
        <v>282</v>
      </c>
      <c r="E3" s="11" t="s">
        <v>283</v>
      </c>
      <c r="F3" s="11" t="s">
        <v>284</v>
      </c>
      <c r="G3" s="12"/>
      <c r="H3" s="13"/>
      <c r="I3" s="21"/>
      <c r="J3" s="19"/>
      <c r="K3" s="19"/>
    </row>
    <row r="4" spans="1:12" x14ac:dyDescent="0.3">
      <c r="A4" s="19"/>
      <c r="B4" s="19" t="s">
        <v>16</v>
      </c>
      <c r="C4" s="19" t="s">
        <v>87</v>
      </c>
      <c r="D4" s="19">
        <v>3</v>
      </c>
      <c r="E4" s="19"/>
      <c r="F4" s="19">
        <f>SUM(D4:E4)</f>
        <v>3</v>
      </c>
      <c r="G4" s="24"/>
      <c r="H4" s="27"/>
      <c r="I4" s="21" t="s">
        <v>92</v>
      </c>
      <c r="J4" s="19" t="s">
        <v>179</v>
      </c>
      <c r="K4" s="19"/>
    </row>
    <row r="5" spans="1:12" x14ac:dyDescent="0.3">
      <c r="A5" s="19"/>
      <c r="B5" s="19" t="s">
        <v>17</v>
      </c>
      <c r="C5" s="19" t="s">
        <v>88</v>
      </c>
      <c r="D5" s="19">
        <v>3</v>
      </c>
      <c r="E5" s="19"/>
      <c r="F5" s="38">
        <f t="shared" ref="F5:F9" si="0">SUM(D5:E5)</f>
        <v>3</v>
      </c>
      <c r="G5" s="24"/>
      <c r="H5" s="27"/>
      <c r="I5" s="21" t="s">
        <v>102</v>
      </c>
      <c r="J5" s="19" t="s">
        <v>179</v>
      </c>
      <c r="K5" s="19"/>
    </row>
    <row r="6" spans="1:12" x14ac:dyDescent="0.3">
      <c r="A6" s="19"/>
      <c r="B6" s="19" t="s">
        <v>285</v>
      </c>
      <c r="C6" s="19" t="s">
        <v>290</v>
      </c>
      <c r="D6" s="19">
        <v>2</v>
      </c>
      <c r="E6" s="19">
        <v>1</v>
      </c>
      <c r="F6" s="38">
        <f t="shared" si="0"/>
        <v>3</v>
      </c>
      <c r="G6" s="24"/>
      <c r="H6" s="27"/>
      <c r="I6" s="21" t="s">
        <v>295</v>
      </c>
      <c r="J6" s="19" t="s">
        <v>179</v>
      </c>
      <c r="K6" s="19"/>
    </row>
    <row r="7" spans="1:12" x14ac:dyDescent="0.3">
      <c r="A7" s="19"/>
      <c r="B7" s="19" t="s">
        <v>286</v>
      </c>
      <c r="C7" s="19" t="s">
        <v>291</v>
      </c>
      <c r="D7" s="19">
        <v>2</v>
      </c>
      <c r="E7" s="19">
        <v>1</v>
      </c>
      <c r="F7" s="38">
        <f t="shared" si="0"/>
        <v>3</v>
      </c>
      <c r="G7" s="24"/>
      <c r="H7" s="27"/>
      <c r="I7" s="21" t="s">
        <v>295</v>
      </c>
      <c r="J7" s="19" t="s">
        <v>179</v>
      </c>
      <c r="K7" s="19"/>
    </row>
    <row r="8" spans="1:12" x14ac:dyDescent="0.3">
      <c r="A8" s="19"/>
      <c r="B8" s="19" t="s">
        <v>554</v>
      </c>
      <c r="C8" s="19" t="s">
        <v>555</v>
      </c>
      <c r="D8" s="19">
        <v>4</v>
      </c>
      <c r="E8" s="19"/>
      <c r="F8" s="38">
        <f t="shared" si="0"/>
        <v>4</v>
      </c>
      <c r="G8" s="24"/>
      <c r="H8" s="27"/>
      <c r="I8" s="21" t="s">
        <v>556</v>
      </c>
      <c r="J8" s="19" t="s">
        <v>179</v>
      </c>
      <c r="K8" s="19"/>
    </row>
    <row r="9" spans="1:12" x14ac:dyDescent="0.3">
      <c r="A9" s="19"/>
      <c r="B9" s="19" t="s">
        <v>557</v>
      </c>
      <c r="C9" s="19" t="s">
        <v>558</v>
      </c>
      <c r="D9" s="19">
        <v>2</v>
      </c>
      <c r="E9" s="19"/>
      <c r="F9" s="38">
        <f t="shared" si="0"/>
        <v>2</v>
      </c>
      <c r="G9" s="24"/>
      <c r="H9" s="27"/>
      <c r="I9" s="21" t="s">
        <v>556</v>
      </c>
      <c r="J9" s="19" t="s">
        <v>179</v>
      </c>
      <c r="K9" s="19"/>
    </row>
    <row r="10" spans="1:12" s="17" customFormat="1" x14ac:dyDescent="0.3">
      <c r="A10" s="57" t="s">
        <v>73</v>
      </c>
      <c r="B10" s="57"/>
      <c r="C10" s="57"/>
      <c r="D10" s="30">
        <f>SUM(D4:D9)</f>
        <v>16</v>
      </c>
      <c r="E10" s="30">
        <f>SUM(E6:E7)</f>
        <v>2</v>
      </c>
      <c r="F10" s="30">
        <f>SUM(D10:E10)</f>
        <v>18</v>
      </c>
      <c r="G10" s="25"/>
      <c r="H10" s="28"/>
      <c r="I10" s="22"/>
      <c r="J10" s="30"/>
      <c r="K10" s="30"/>
      <c r="L10" s="39"/>
    </row>
    <row r="11" spans="1:12" x14ac:dyDescent="0.3">
      <c r="A11" s="19"/>
      <c r="B11" s="19"/>
      <c r="C11" s="19"/>
      <c r="D11" s="19"/>
      <c r="E11" s="19"/>
      <c r="F11" s="19"/>
      <c r="G11" s="24"/>
      <c r="H11" s="27" t="s">
        <v>81</v>
      </c>
      <c r="I11" s="21"/>
      <c r="J11" s="19"/>
      <c r="K11" s="19"/>
    </row>
    <row r="12" spans="1:12" x14ac:dyDescent="0.3">
      <c r="A12" s="19"/>
      <c r="B12" s="19" t="s">
        <v>22</v>
      </c>
      <c r="C12" s="19" t="s">
        <v>95</v>
      </c>
      <c r="D12" s="19">
        <v>2</v>
      </c>
      <c r="E12" s="19"/>
      <c r="F12" s="38">
        <f t="shared" ref="F12:F19" si="1">SUM(D12:E12)</f>
        <v>2</v>
      </c>
      <c r="G12" s="24"/>
      <c r="H12" s="27"/>
      <c r="I12" s="21" t="s">
        <v>92</v>
      </c>
      <c r="J12" s="19" t="s">
        <v>179</v>
      </c>
      <c r="K12" s="19"/>
    </row>
    <row r="13" spans="1:12" x14ac:dyDescent="0.3">
      <c r="A13" s="19"/>
      <c r="B13" s="19" t="s">
        <v>23</v>
      </c>
      <c r="C13" s="19" t="s">
        <v>96</v>
      </c>
      <c r="D13" s="19">
        <v>2</v>
      </c>
      <c r="E13" s="19"/>
      <c r="F13" s="38">
        <f t="shared" si="1"/>
        <v>2</v>
      </c>
      <c r="G13" s="24"/>
      <c r="H13" s="27"/>
      <c r="I13" s="21" t="s">
        <v>92</v>
      </c>
      <c r="J13" s="19" t="s">
        <v>179</v>
      </c>
      <c r="K13" s="19"/>
      <c r="L13" s="32" t="s">
        <v>592</v>
      </c>
    </row>
    <row r="14" spans="1:12" x14ac:dyDescent="0.3">
      <c r="A14" s="19"/>
      <c r="B14" s="19" t="s">
        <v>24</v>
      </c>
      <c r="C14" s="19" t="s">
        <v>170</v>
      </c>
      <c r="D14" s="19">
        <v>1</v>
      </c>
      <c r="E14" s="19"/>
      <c r="F14" s="38">
        <f t="shared" si="1"/>
        <v>1</v>
      </c>
      <c r="G14" s="24"/>
      <c r="H14" s="27"/>
      <c r="I14" s="21" t="s">
        <v>102</v>
      </c>
      <c r="J14" s="19" t="s">
        <v>179</v>
      </c>
      <c r="K14" s="19"/>
    </row>
    <row r="15" spans="1:12" x14ac:dyDescent="0.3">
      <c r="A15" s="19"/>
      <c r="B15" s="19" t="s">
        <v>504</v>
      </c>
      <c r="C15" s="19" t="s">
        <v>587</v>
      </c>
      <c r="D15" s="19">
        <v>2</v>
      </c>
      <c r="E15" s="19"/>
      <c r="F15" s="38">
        <f t="shared" si="1"/>
        <v>2</v>
      </c>
      <c r="G15" s="24"/>
      <c r="H15" s="27"/>
      <c r="I15" s="21" t="s">
        <v>556</v>
      </c>
      <c r="J15" s="19" t="s">
        <v>179</v>
      </c>
      <c r="K15" s="19"/>
    </row>
    <row r="16" spans="1:12" x14ac:dyDescent="0.3">
      <c r="A16" s="19"/>
      <c r="B16" s="19" t="s">
        <v>297</v>
      </c>
      <c r="C16" s="19" t="s">
        <v>301</v>
      </c>
      <c r="D16" s="19">
        <v>2</v>
      </c>
      <c r="E16" s="19">
        <v>1</v>
      </c>
      <c r="F16" s="38">
        <f t="shared" si="1"/>
        <v>3</v>
      </c>
      <c r="G16" s="24"/>
      <c r="H16" s="27"/>
      <c r="I16" s="21" t="s">
        <v>295</v>
      </c>
      <c r="J16" s="19" t="s">
        <v>179</v>
      </c>
      <c r="K16" s="19"/>
    </row>
    <row r="17" spans="1:12" x14ac:dyDescent="0.3">
      <c r="A17" s="19"/>
      <c r="B17" s="19" t="s">
        <v>438</v>
      </c>
      <c r="C17" s="19" t="s">
        <v>302</v>
      </c>
      <c r="D17" s="19">
        <v>2</v>
      </c>
      <c r="E17" s="19">
        <v>1</v>
      </c>
      <c r="F17" s="38">
        <f t="shared" si="1"/>
        <v>3</v>
      </c>
      <c r="G17" s="24"/>
      <c r="H17" s="27"/>
      <c r="I17" s="21" t="s">
        <v>295</v>
      </c>
      <c r="J17" s="19" t="s">
        <v>179</v>
      </c>
      <c r="K17" s="19"/>
    </row>
    <row r="18" spans="1:12" x14ac:dyDescent="0.3">
      <c r="A18" s="19"/>
      <c r="B18" s="19" t="s">
        <v>560</v>
      </c>
      <c r="C18" s="19" t="s">
        <v>561</v>
      </c>
      <c r="D18" s="19">
        <v>3</v>
      </c>
      <c r="E18" s="19"/>
      <c r="F18" s="38">
        <f t="shared" si="1"/>
        <v>3</v>
      </c>
      <c r="G18" s="24"/>
      <c r="H18" s="27"/>
      <c r="I18" s="21" t="s">
        <v>556</v>
      </c>
      <c r="J18" s="19" t="s">
        <v>179</v>
      </c>
      <c r="K18" s="19"/>
    </row>
    <row r="19" spans="1:12" x14ac:dyDescent="0.3">
      <c r="A19" s="19"/>
      <c r="B19" s="19" t="s">
        <v>29</v>
      </c>
      <c r="C19" s="19" t="s">
        <v>447</v>
      </c>
      <c r="D19" s="19">
        <v>2</v>
      </c>
      <c r="E19" s="19"/>
      <c r="F19" s="38">
        <f t="shared" si="1"/>
        <v>2</v>
      </c>
      <c r="G19" s="24"/>
      <c r="H19" s="27"/>
      <c r="I19" s="21" t="s">
        <v>92</v>
      </c>
      <c r="J19" s="19" t="s">
        <v>179</v>
      </c>
      <c r="K19" s="19"/>
    </row>
    <row r="20" spans="1:12" s="17" customFormat="1" x14ac:dyDescent="0.3">
      <c r="A20" s="57" t="s">
        <v>73</v>
      </c>
      <c r="B20" s="57"/>
      <c r="C20" s="57"/>
      <c r="D20" s="30">
        <f>SUM(D12:D19)</f>
        <v>16</v>
      </c>
      <c r="E20" s="30">
        <f>SUM(E16:E18)</f>
        <v>2</v>
      </c>
      <c r="F20" s="30">
        <f>SUM(D20:E20)</f>
        <v>18</v>
      </c>
      <c r="G20" s="25"/>
      <c r="H20" s="28"/>
      <c r="I20" s="22"/>
      <c r="J20" s="30"/>
      <c r="K20" s="30"/>
      <c r="L20" s="39"/>
    </row>
    <row r="21" spans="1:12" x14ac:dyDescent="0.3">
      <c r="A21" s="19"/>
      <c r="B21" s="19"/>
      <c r="C21" s="19"/>
      <c r="D21" s="19"/>
      <c r="E21" s="19"/>
      <c r="F21" s="19"/>
      <c r="G21" s="24" t="s">
        <v>83</v>
      </c>
      <c r="H21" s="27" t="s">
        <v>14</v>
      </c>
      <c r="I21" s="21"/>
      <c r="J21" s="19"/>
      <c r="K21" s="19"/>
    </row>
    <row r="22" spans="1:12" x14ac:dyDescent="0.3">
      <c r="A22" s="19"/>
      <c r="B22" s="19" t="s">
        <v>30</v>
      </c>
      <c r="C22" s="19" t="s">
        <v>103</v>
      </c>
      <c r="D22" s="19">
        <v>3</v>
      </c>
      <c r="E22" s="19"/>
      <c r="F22" s="38">
        <f t="shared" ref="F22:F27" si="2">SUM(D22:E22)</f>
        <v>3</v>
      </c>
      <c r="G22" s="24"/>
      <c r="H22" s="27"/>
      <c r="I22" s="21" t="s">
        <v>92</v>
      </c>
      <c r="J22" s="19" t="s">
        <v>179</v>
      </c>
      <c r="K22" s="19"/>
      <c r="L22" s="32" t="s">
        <v>594</v>
      </c>
    </row>
    <row r="23" spans="1:12" x14ac:dyDescent="0.3">
      <c r="A23" s="19"/>
      <c r="B23" s="19" t="s">
        <v>31</v>
      </c>
      <c r="C23" s="19" t="s">
        <v>312</v>
      </c>
      <c r="D23" s="19">
        <v>3</v>
      </c>
      <c r="E23" s="19"/>
      <c r="F23" s="38">
        <f t="shared" si="2"/>
        <v>3</v>
      </c>
      <c r="G23" s="24"/>
      <c r="H23" s="27"/>
      <c r="I23" s="21" t="s">
        <v>92</v>
      </c>
      <c r="J23" s="19" t="s">
        <v>179</v>
      </c>
      <c r="K23" s="19"/>
    </row>
    <row r="24" spans="1:12" x14ac:dyDescent="0.3">
      <c r="A24" s="19"/>
      <c r="B24" s="19" t="s">
        <v>305</v>
      </c>
      <c r="C24" s="19" t="s">
        <v>313</v>
      </c>
      <c r="D24" s="19">
        <v>2</v>
      </c>
      <c r="E24" s="19">
        <v>1</v>
      </c>
      <c r="F24" s="38">
        <f t="shared" si="2"/>
        <v>3</v>
      </c>
      <c r="G24" s="24"/>
      <c r="H24" s="27"/>
      <c r="I24" s="21" t="s">
        <v>295</v>
      </c>
      <c r="J24" s="19" t="s">
        <v>179</v>
      </c>
      <c r="K24" s="19"/>
    </row>
    <row r="25" spans="1:12" x14ac:dyDescent="0.3">
      <c r="A25" s="19"/>
      <c r="B25" s="19" t="s">
        <v>306</v>
      </c>
      <c r="C25" s="19" t="s">
        <v>314</v>
      </c>
      <c r="D25" s="19">
        <v>3</v>
      </c>
      <c r="E25" s="19"/>
      <c r="F25" s="38">
        <f t="shared" si="2"/>
        <v>3</v>
      </c>
      <c r="G25" s="24"/>
      <c r="H25" s="27"/>
      <c r="I25" s="21" t="s">
        <v>295</v>
      </c>
      <c r="J25" s="19" t="s">
        <v>179</v>
      </c>
      <c r="K25" s="19"/>
    </row>
    <row r="26" spans="1:12" x14ac:dyDescent="0.3">
      <c r="A26" s="19"/>
      <c r="B26" s="19" t="s">
        <v>568</v>
      </c>
      <c r="C26" s="19" t="s">
        <v>569</v>
      </c>
      <c r="D26" s="19">
        <v>3</v>
      </c>
      <c r="E26" s="19"/>
      <c r="F26" s="38">
        <f t="shared" si="2"/>
        <v>3</v>
      </c>
      <c r="G26" s="24"/>
      <c r="H26" s="27"/>
      <c r="I26" s="21" t="s">
        <v>556</v>
      </c>
      <c r="J26" s="19" t="s">
        <v>179</v>
      </c>
      <c r="K26" s="19"/>
    </row>
    <row r="27" spans="1:12" x14ac:dyDescent="0.3">
      <c r="A27" s="19"/>
      <c r="B27" s="19" t="s">
        <v>562</v>
      </c>
      <c r="C27" s="19" t="s">
        <v>563</v>
      </c>
      <c r="D27" s="19">
        <v>3</v>
      </c>
      <c r="E27" s="19"/>
      <c r="F27" s="38">
        <f t="shared" si="2"/>
        <v>3</v>
      </c>
      <c r="G27" s="24"/>
      <c r="H27" s="27"/>
      <c r="I27" s="21" t="s">
        <v>556</v>
      </c>
      <c r="J27" s="19" t="s">
        <v>179</v>
      </c>
      <c r="K27" s="19"/>
    </row>
    <row r="28" spans="1:12" s="17" customFormat="1" x14ac:dyDescent="0.3">
      <c r="A28" s="57" t="s">
        <v>73</v>
      </c>
      <c r="B28" s="57"/>
      <c r="C28" s="57"/>
      <c r="D28" s="30">
        <f>SUM(D22:D27)</f>
        <v>17</v>
      </c>
      <c r="E28" s="30">
        <f>SUM(E24:E27)</f>
        <v>1</v>
      </c>
      <c r="F28" s="30">
        <f>SUM(D28:E28)</f>
        <v>18</v>
      </c>
      <c r="G28" s="25"/>
      <c r="H28" s="28"/>
      <c r="I28" s="22"/>
      <c r="J28" s="30"/>
      <c r="K28" s="30"/>
      <c r="L28" s="39"/>
    </row>
    <row r="29" spans="1:12" x14ac:dyDescent="0.3">
      <c r="A29" s="19"/>
      <c r="B29" s="19"/>
      <c r="C29" s="19"/>
      <c r="D29" s="19"/>
      <c r="E29" s="19"/>
      <c r="F29" s="19"/>
      <c r="G29" s="24"/>
      <c r="H29" s="27" t="s">
        <v>215</v>
      </c>
      <c r="I29" s="21"/>
      <c r="J29" s="19"/>
      <c r="K29" s="19"/>
    </row>
    <row r="30" spans="1:12" x14ac:dyDescent="0.3">
      <c r="A30" s="19"/>
      <c r="B30" s="19" t="s">
        <v>35</v>
      </c>
      <c r="C30" s="19" t="s">
        <v>110</v>
      </c>
      <c r="D30" s="19">
        <v>3</v>
      </c>
      <c r="E30" s="19"/>
      <c r="F30" s="38">
        <f t="shared" ref="F30:F36" si="3">SUM(D30:E30)</f>
        <v>3</v>
      </c>
      <c r="G30" s="24"/>
      <c r="H30" s="27"/>
      <c r="I30" s="21" t="s">
        <v>92</v>
      </c>
      <c r="J30" s="19" t="s">
        <v>179</v>
      </c>
      <c r="K30" s="19"/>
      <c r="L30" s="32" t="s">
        <v>595</v>
      </c>
    </row>
    <row r="31" spans="1:12" x14ac:dyDescent="0.3">
      <c r="A31" s="19"/>
      <c r="B31" s="19" t="s">
        <v>36</v>
      </c>
      <c r="C31" s="19" t="s">
        <v>316</v>
      </c>
      <c r="D31" s="19">
        <v>3</v>
      </c>
      <c r="E31" s="19"/>
      <c r="F31" s="38">
        <f t="shared" si="3"/>
        <v>3</v>
      </c>
      <c r="G31" s="24"/>
      <c r="H31" s="27"/>
      <c r="I31" s="21" t="s">
        <v>92</v>
      </c>
      <c r="J31" s="19" t="s">
        <v>179</v>
      </c>
      <c r="K31" s="19"/>
    </row>
    <row r="32" spans="1:12" x14ac:dyDescent="0.3">
      <c r="A32" s="19"/>
      <c r="B32" s="19" t="s">
        <v>37</v>
      </c>
      <c r="C32" s="19" t="s">
        <v>317</v>
      </c>
      <c r="D32" s="19">
        <v>3</v>
      </c>
      <c r="E32" s="19"/>
      <c r="F32" s="38">
        <f t="shared" si="3"/>
        <v>3</v>
      </c>
      <c r="G32" s="24"/>
      <c r="H32" s="27"/>
      <c r="I32" s="21" t="s">
        <v>102</v>
      </c>
      <c r="J32" s="19" t="s">
        <v>179</v>
      </c>
      <c r="K32" s="19"/>
    </row>
    <row r="33" spans="1:12" x14ac:dyDescent="0.3">
      <c r="A33" s="19"/>
      <c r="B33" s="19" t="s">
        <v>309</v>
      </c>
      <c r="C33" s="19" t="s">
        <v>318</v>
      </c>
      <c r="D33" s="19">
        <v>2</v>
      </c>
      <c r="E33" s="19">
        <v>1</v>
      </c>
      <c r="F33" s="38">
        <f t="shared" si="3"/>
        <v>3</v>
      </c>
      <c r="G33" s="24"/>
      <c r="H33" s="27"/>
      <c r="I33" s="21" t="s">
        <v>295</v>
      </c>
      <c r="J33" s="19" t="s">
        <v>179</v>
      </c>
      <c r="K33" s="19"/>
    </row>
    <row r="34" spans="1:12" x14ac:dyDescent="0.3">
      <c r="A34" s="19"/>
      <c r="B34" s="19" t="s">
        <v>310</v>
      </c>
      <c r="C34" s="19" t="s">
        <v>319</v>
      </c>
      <c r="D34" s="19">
        <v>3</v>
      </c>
      <c r="E34" s="19"/>
      <c r="F34" s="38">
        <f t="shared" si="3"/>
        <v>3</v>
      </c>
      <c r="G34" s="24"/>
      <c r="H34" s="27"/>
      <c r="I34" s="21" t="s">
        <v>295</v>
      </c>
      <c r="J34" s="19" t="s">
        <v>179</v>
      </c>
      <c r="K34" s="19"/>
    </row>
    <row r="35" spans="1:12" x14ac:dyDescent="0.3">
      <c r="A35" s="19"/>
      <c r="B35" s="19" t="s">
        <v>578</v>
      </c>
      <c r="C35" s="19" t="s">
        <v>588</v>
      </c>
      <c r="D35" s="19">
        <v>3</v>
      </c>
      <c r="E35" s="19"/>
      <c r="F35" s="38">
        <f t="shared" si="3"/>
        <v>3</v>
      </c>
      <c r="G35" s="24"/>
      <c r="H35" s="27"/>
      <c r="I35" s="21" t="s">
        <v>556</v>
      </c>
      <c r="J35" s="19" t="s">
        <v>179</v>
      </c>
      <c r="K35" s="19"/>
    </row>
    <row r="36" spans="1:12" x14ac:dyDescent="0.3">
      <c r="A36" s="19"/>
      <c r="B36" s="19" t="s">
        <v>564</v>
      </c>
      <c r="C36" s="19" t="s">
        <v>565</v>
      </c>
      <c r="D36" s="19">
        <v>4</v>
      </c>
      <c r="E36" s="19"/>
      <c r="F36" s="38">
        <f t="shared" si="3"/>
        <v>4</v>
      </c>
      <c r="G36" s="24"/>
      <c r="H36" s="27"/>
      <c r="I36" s="21" t="s">
        <v>556</v>
      </c>
      <c r="J36" s="19" t="s">
        <v>179</v>
      </c>
      <c r="K36" s="19"/>
    </row>
    <row r="37" spans="1:12" s="17" customFormat="1" x14ac:dyDescent="0.3">
      <c r="A37" s="57" t="s">
        <v>73</v>
      </c>
      <c r="B37" s="57"/>
      <c r="C37" s="57"/>
      <c r="D37" s="30">
        <f>SUM(D30:D36)</f>
        <v>21</v>
      </c>
      <c r="E37" s="30">
        <f>SUM(E33:E35)</f>
        <v>1</v>
      </c>
      <c r="F37" s="30">
        <f>SUM(D37:E37)</f>
        <v>22</v>
      </c>
      <c r="G37" s="25"/>
      <c r="H37" s="28"/>
      <c r="I37" s="22"/>
      <c r="J37" s="30"/>
      <c r="K37" s="30"/>
      <c r="L37" s="39"/>
    </row>
    <row r="38" spans="1:12" x14ac:dyDescent="0.3">
      <c r="A38" s="19"/>
      <c r="B38" s="19"/>
      <c r="C38" s="19"/>
      <c r="D38" s="19"/>
      <c r="E38" s="19"/>
      <c r="F38" s="19"/>
      <c r="G38" s="24" t="s">
        <v>84</v>
      </c>
      <c r="H38" s="27" t="s">
        <v>14</v>
      </c>
      <c r="I38" s="21"/>
      <c r="J38" s="19"/>
      <c r="K38" s="19"/>
    </row>
    <row r="39" spans="1:12" x14ac:dyDescent="0.3">
      <c r="A39" s="19"/>
      <c r="B39" s="19" t="s">
        <v>41</v>
      </c>
      <c r="C39" s="19" t="s">
        <v>330</v>
      </c>
      <c r="D39" s="19">
        <v>3</v>
      </c>
      <c r="E39" s="19"/>
      <c r="F39" s="38">
        <f t="shared" ref="F39:F44" si="4">SUM(D39:E39)</f>
        <v>3</v>
      </c>
      <c r="G39" s="24"/>
      <c r="H39" s="27"/>
      <c r="I39" s="21" t="s">
        <v>92</v>
      </c>
      <c r="J39" s="19" t="s">
        <v>179</v>
      </c>
      <c r="K39" s="19"/>
      <c r="L39" s="32" t="s">
        <v>596</v>
      </c>
    </row>
    <row r="40" spans="1:12" x14ac:dyDescent="0.3">
      <c r="A40" s="19"/>
      <c r="B40" s="19" t="s">
        <v>42</v>
      </c>
      <c r="C40" s="19" t="s">
        <v>329</v>
      </c>
      <c r="D40" s="19">
        <v>3</v>
      </c>
      <c r="E40" s="19"/>
      <c r="F40" s="38">
        <f t="shared" si="4"/>
        <v>3</v>
      </c>
      <c r="G40" s="24"/>
      <c r="H40" s="27"/>
      <c r="I40" s="21" t="s">
        <v>92</v>
      </c>
      <c r="J40" s="19" t="s">
        <v>179</v>
      </c>
      <c r="K40" s="19"/>
      <c r="L40" s="32" t="s">
        <v>598</v>
      </c>
    </row>
    <row r="41" spans="1:12" x14ac:dyDescent="0.3">
      <c r="A41" s="19"/>
      <c r="B41" s="19" t="s">
        <v>60</v>
      </c>
      <c r="C41" s="19" t="s">
        <v>327</v>
      </c>
      <c r="D41" s="19">
        <v>2</v>
      </c>
      <c r="E41" s="19"/>
      <c r="F41" s="38">
        <f t="shared" si="4"/>
        <v>2</v>
      </c>
      <c r="G41" s="24"/>
      <c r="H41" s="27"/>
      <c r="I41" s="21" t="s">
        <v>102</v>
      </c>
      <c r="J41" s="19" t="s">
        <v>179</v>
      </c>
      <c r="K41" s="19"/>
    </row>
    <row r="42" spans="1:12" x14ac:dyDescent="0.3">
      <c r="A42" s="19"/>
      <c r="B42" s="19" t="s">
        <v>322</v>
      </c>
      <c r="C42" s="19" t="s">
        <v>326</v>
      </c>
      <c r="D42" s="19">
        <v>2</v>
      </c>
      <c r="E42" s="19">
        <v>1</v>
      </c>
      <c r="F42" s="38">
        <f t="shared" si="4"/>
        <v>3</v>
      </c>
      <c r="G42" s="24"/>
      <c r="H42" s="27"/>
      <c r="I42" s="21" t="s">
        <v>295</v>
      </c>
      <c r="J42" s="19" t="s">
        <v>179</v>
      </c>
      <c r="K42" s="19"/>
    </row>
    <row r="43" spans="1:12" x14ac:dyDescent="0.3">
      <c r="A43" s="19"/>
      <c r="B43" s="19" t="s">
        <v>566</v>
      </c>
      <c r="C43" s="19" t="s">
        <v>567</v>
      </c>
      <c r="D43" s="19">
        <v>3</v>
      </c>
      <c r="E43" s="19"/>
      <c r="F43" s="38">
        <f t="shared" si="4"/>
        <v>3</v>
      </c>
      <c r="G43" s="24"/>
      <c r="H43" s="27"/>
      <c r="I43" s="21" t="s">
        <v>556</v>
      </c>
      <c r="J43" s="19" t="s">
        <v>179</v>
      </c>
      <c r="K43" s="19"/>
    </row>
    <row r="44" spans="1:12" x14ac:dyDescent="0.3">
      <c r="A44" s="19"/>
      <c r="B44" s="19" t="s">
        <v>580</v>
      </c>
      <c r="C44" s="19" t="s">
        <v>582</v>
      </c>
      <c r="D44" s="19">
        <v>3</v>
      </c>
      <c r="E44" s="19"/>
      <c r="F44" s="38">
        <f t="shared" si="4"/>
        <v>3</v>
      </c>
      <c r="G44" s="24"/>
      <c r="H44" s="27"/>
      <c r="I44" s="21" t="s">
        <v>556</v>
      </c>
      <c r="J44" s="19" t="s">
        <v>179</v>
      </c>
      <c r="K44" s="19"/>
    </row>
    <row r="45" spans="1:12" s="17" customFormat="1" x14ac:dyDescent="0.3">
      <c r="A45" s="57" t="s">
        <v>73</v>
      </c>
      <c r="B45" s="57"/>
      <c r="C45" s="57"/>
      <c r="D45" s="30">
        <f>SUM(D39:D44)</f>
        <v>16</v>
      </c>
      <c r="E45" s="30">
        <f>SUM(E41:E43)</f>
        <v>1</v>
      </c>
      <c r="F45" s="30">
        <f>SUM(D45:E45)</f>
        <v>17</v>
      </c>
      <c r="G45" s="25"/>
      <c r="H45" s="28"/>
      <c r="I45" s="22"/>
      <c r="J45" s="30"/>
      <c r="K45" s="30"/>
      <c r="L45" s="39"/>
    </row>
    <row r="46" spans="1:12" x14ac:dyDescent="0.3">
      <c r="A46" s="19"/>
      <c r="B46" s="19"/>
      <c r="C46" s="19"/>
      <c r="D46" s="19"/>
      <c r="E46" s="19"/>
      <c r="F46" s="19"/>
      <c r="G46" s="24"/>
      <c r="H46" s="27" t="s">
        <v>81</v>
      </c>
      <c r="I46" s="21"/>
      <c r="J46" s="19"/>
      <c r="K46" s="19"/>
    </row>
    <row r="47" spans="1:12" x14ac:dyDescent="0.3">
      <c r="A47" s="19"/>
      <c r="B47" s="19" t="s">
        <v>331</v>
      </c>
      <c r="C47" s="19" t="s">
        <v>340</v>
      </c>
      <c r="D47" s="19">
        <v>3</v>
      </c>
      <c r="E47" s="19"/>
      <c r="F47" s="38">
        <f t="shared" ref="F47:F52" si="5">SUM(D47:E47)</f>
        <v>3</v>
      </c>
      <c r="G47" s="24"/>
      <c r="H47" s="27"/>
      <c r="I47" s="21" t="s">
        <v>92</v>
      </c>
      <c r="J47" s="19" t="s">
        <v>179</v>
      </c>
      <c r="K47" s="19"/>
      <c r="L47" s="32" t="s">
        <v>600</v>
      </c>
    </row>
    <row r="48" spans="1:12" x14ac:dyDescent="0.3">
      <c r="A48" s="19"/>
      <c r="B48" s="19" t="s">
        <v>570</v>
      </c>
      <c r="C48" s="19" t="s">
        <v>571</v>
      </c>
      <c r="D48" s="19">
        <v>3</v>
      </c>
      <c r="E48" s="19"/>
      <c r="F48" s="38">
        <f t="shared" si="5"/>
        <v>3</v>
      </c>
      <c r="G48" s="24"/>
      <c r="H48" s="27"/>
      <c r="I48" s="21" t="s">
        <v>92</v>
      </c>
      <c r="J48" s="19" t="s">
        <v>179</v>
      </c>
      <c r="K48" s="19"/>
      <c r="L48" s="32" t="s">
        <v>600</v>
      </c>
    </row>
    <row r="49" spans="1:12" x14ac:dyDescent="0.3">
      <c r="A49" s="19"/>
      <c r="B49" s="19" t="s">
        <v>49</v>
      </c>
      <c r="C49" s="19" t="s">
        <v>338</v>
      </c>
      <c r="D49" s="19">
        <v>3</v>
      </c>
      <c r="E49" s="19"/>
      <c r="F49" s="38">
        <f t="shared" si="5"/>
        <v>3</v>
      </c>
      <c r="G49" s="24"/>
      <c r="H49" s="27"/>
      <c r="I49" s="21" t="s">
        <v>92</v>
      </c>
      <c r="J49" s="19" t="s">
        <v>179</v>
      </c>
      <c r="K49" s="19"/>
      <c r="L49" s="32" t="s">
        <v>597</v>
      </c>
    </row>
    <row r="50" spans="1:12" x14ac:dyDescent="0.3">
      <c r="A50" s="19"/>
      <c r="B50" s="19" t="s">
        <v>333</v>
      </c>
      <c r="C50" s="19" t="s">
        <v>337</v>
      </c>
      <c r="D50" s="19">
        <v>3</v>
      </c>
      <c r="E50" s="19"/>
      <c r="F50" s="38">
        <f t="shared" si="5"/>
        <v>3</v>
      </c>
      <c r="G50" s="24"/>
      <c r="H50" s="27"/>
      <c r="I50" s="21" t="s">
        <v>295</v>
      </c>
      <c r="J50" s="19" t="s">
        <v>179</v>
      </c>
      <c r="K50" s="19"/>
    </row>
    <row r="51" spans="1:12" x14ac:dyDescent="0.3">
      <c r="A51" s="19"/>
      <c r="B51" s="19" t="s">
        <v>464</v>
      </c>
      <c r="C51" s="19" t="s">
        <v>336</v>
      </c>
      <c r="D51" s="19">
        <v>2</v>
      </c>
      <c r="E51" s="19">
        <v>1</v>
      </c>
      <c r="F51" s="38">
        <f t="shared" si="5"/>
        <v>3</v>
      </c>
      <c r="G51" s="24"/>
      <c r="H51" s="27"/>
      <c r="I51" s="21" t="s">
        <v>295</v>
      </c>
      <c r="J51" s="19" t="s">
        <v>179</v>
      </c>
      <c r="K51" s="19"/>
    </row>
    <row r="52" spans="1:12" x14ac:dyDescent="0.3">
      <c r="A52" s="19"/>
      <c r="B52" s="19" t="s">
        <v>572</v>
      </c>
      <c r="C52" s="19" t="s">
        <v>573</v>
      </c>
      <c r="D52" s="19">
        <v>3</v>
      </c>
      <c r="E52" s="19"/>
      <c r="F52" s="38">
        <f t="shared" si="5"/>
        <v>3</v>
      </c>
      <c r="G52" s="24"/>
      <c r="H52" s="27"/>
      <c r="I52" s="21" t="s">
        <v>556</v>
      </c>
      <c r="J52" s="19" t="s">
        <v>179</v>
      </c>
      <c r="K52" s="19"/>
    </row>
    <row r="53" spans="1:12" s="17" customFormat="1" x14ac:dyDescent="0.3">
      <c r="A53" s="57" t="s">
        <v>341</v>
      </c>
      <c r="B53" s="57"/>
      <c r="C53" s="57"/>
      <c r="D53" s="30">
        <f>SUM(D47:D52)</f>
        <v>17</v>
      </c>
      <c r="E53" s="30">
        <f>SUM(E51:E52)</f>
        <v>1</v>
      </c>
      <c r="F53" s="30">
        <f>SUM(D53:E53)</f>
        <v>18</v>
      </c>
      <c r="G53" s="25"/>
      <c r="H53" s="28"/>
      <c r="I53" s="22"/>
      <c r="J53" s="30"/>
      <c r="K53" s="30"/>
      <c r="L53" s="39"/>
    </row>
    <row r="54" spans="1:12" x14ac:dyDescent="0.3">
      <c r="A54" s="19"/>
      <c r="B54" s="19"/>
      <c r="C54" s="19"/>
      <c r="D54" s="19"/>
      <c r="E54" s="19"/>
      <c r="F54" s="19"/>
      <c r="G54" s="24"/>
      <c r="H54" s="27" t="s">
        <v>85</v>
      </c>
      <c r="I54" s="21"/>
      <c r="J54" s="19"/>
      <c r="K54" s="19"/>
    </row>
    <row r="55" spans="1:12" x14ac:dyDescent="0.3">
      <c r="A55" s="19"/>
      <c r="B55" s="19" t="s">
        <v>53</v>
      </c>
      <c r="C55" s="19" t="s">
        <v>126</v>
      </c>
      <c r="D55" s="19">
        <v>6</v>
      </c>
      <c r="E55" s="19"/>
      <c r="F55" s="19">
        <f>SUM(D55)</f>
        <v>6</v>
      </c>
      <c r="G55" s="24"/>
      <c r="H55" s="27"/>
      <c r="I55" s="21" t="s">
        <v>92</v>
      </c>
      <c r="J55" s="19" t="s">
        <v>179</v>
      </c>
      <c r="K55" s="19"/>
      <c r="L55" s="32" t="s">
        <v>599</v>
      </c>
    </row>
    <row r="56" spans="1:12" s="17" customFormat="1" x14ac:dyDescent="0.3">
      <c r="A56" s="57" t="s">
        <v>73</v>
      </c>
      <c r="B56" s="57"/>
      <c r="C56" s="57"/>
      <c r="D56" s="30">
        <f>SUM(D55)</f>
        <v>6</v>
      </c>
      <c r="E56" s="30"/>
      <c r="F56" s="30"/>
      <c r="G56" s="25"/>
      <c r="H56" s="28"/>
      <c r="I56" s="22"/>
      <c r="J56" s="30"/>
      <c r="K56" s="30"/>
      <c r="L56" s="39"/>
    </row>
    <row r="57" spans="1:12" x14ac:dyDescent="0.3">
      <c r="A57" s="19"/>
      <c r="B57" s="19"/>
      <c r="C57" s="19"/>
      <c r="D57" s="19"/>
      <c r="E57" s="19"/>
      <c r="F57" s="19"/>
      <c r="G57" s="24" t="s">
        <v>86</v>
      </c>
      <c r="H57" s="27" t="s">
        <v>14</v>
      </c>
      <c r="I57" s="21"/>
      <c r="J57" s="19"/>
      <c r="K57" s="19"/>
    </row>
    <row r="58" spans="1:12" x14ac:dyDescent="0.3">
      <c r="A58" s="19"/>
      <c r="B58" s="19" t="s">
        <v>54</v>
      </c>
      <c r="C58" s="19" t="s">
        <v>80</v>
      </c>
      <c r="D58" s="19">
        <v>3</v>
      </c>
      <c r="E58" s="19"/>
      <c r="F58" s="38">
        <f t="shared" ref="F58:F63" si="6">SUM(D58:E58)</f>
        <v>3</v>
      </c>
      <c r="G58" s="24"/>
      <c r="H58" s="27"/>
      <c r="I58" s="21" t="s">
        <v>92</v>
      </c>
      <c r="J58" s="19" t="s">
        <v>179</v>
      </c>
      <c r="K58" s="19"/>
      <c r="L58" s="32" t="s">
        <v>591</v>
      </c>
    </row>
    <row r="59" spans="1:12" x14ac:dyDescent="0.3">
      <c r="A59" s="19"/>
      <c r="B59" s="19" t="s">
        <v>55</v>
      </c>
      <c r="C59" s="19" t="s">
        <v>350</v>
      </c>
      <c r="D59" s="19">
        <v>3</v>
      </c>
      <c r="E59" s="19"/>
      <c r="F59" s="38">
        <f t="shared" si="6"/>
        <v>3</v>
      </c>
      <c r="G59" s="24"/>
      <c r="H59" s="27"/>
      <c r="I59" s="21" t="s">
        <v>92</v>
      </c>
      <c r="J59" s="19" t="s">
        <v>179</v>
      </c>
      <c r="K59" s="19"/>
      <c r="L59" s="32" t="s">
        <v>591</v>
      </c>
    </row>
    <row r="60" spans="1:12" x14ac:dyDescent="0.3">
      <c r="A60" s="19"/>
      <c r="B60" s="19" t="s">
        <v>342</v>
      </c>
      <c r="C60" s="19" t="s">
        <v>351</v>
      </c>
      <c r="D60" s="19">
        <v>2</v>
      </c>
      <c r="E60" s="19">
        <v>1</v>
      </c>
      <c r="F60" s="38">
        <f t="shared" si="6"/>
        <v>3</v>
      </c>
      <c r="G60" s="24"/>
      <c r="H60" s="27"/>
      <c r="I60" s="21" t="s">
        <v>295</v>
      </c>
      <c r="J60" s="19" t="s">
        <v>179</v>
      </c>
      <c r="K60" s="19"/>
    </row>
    <row r="61" spans="1:12" x14ac:dyDescent="0.3">
      <c r="A61" s="19"/>
      <c r="B61" s="19" t="s">
        <v>343</v>
      </c>
      <c r="C61" s="19" t="s">
        <v>352</v>
      </c>
      <c r="D61" s="19">
        <v>2</v>
      </c>
      <c r="E61" s="19">
        <v>1</v>
      </c>
      <c r="F61" s="38">
        <f t="shared" si="6"/>
        <v>3</v>
      </c>
      <c r="G61" s="24"/>
      <c r="H61" s="27"/>
      <c r="I61" s="21" t="s">
        <v>295</v>
      </c>
      <c r="J61" s="19" t="s">
        <v>179</v>
      </c>
      <c r="K61" s="19"/>
    </row>
    <row r="62" spans="1:12" x14ac:dyDescent="0.3">
      <c r="A62" s="19"/>
      <c r="B62" s="19" t="s">
        <v>577</v>
      </c>
      <c r="C62" s="19" t="s">
        <v>574</v>
      </c>
      <c r="D62" s="19">
        <v>3</v>
      </c>
      <c r="E62" s="19"/>
      <c r="F62" s="38">
        <f t="shared" si="6"/>
        <v>3</v>
      </c>
      <c r="G62" s="24"/>
      <c r="H62" s="27"/>
      <c r="I62" s="21" t="s">
        <v>556</v>
      </c>
      <c r="J62" s="19" t="s">
        <v>179</v>
      </c>
      <c r="K62" s="19"/>
    </row>
    <row r="63" spans="1:12" x14ac:dyDescent="0.3">
      <c r="A63" s="19"/>
      <c r="B63" s="19" t="s">
        <v>575</v>
      </c>
      <c r="C63" s="19" t="s">
        <v>576</v>
      </c>
      <c r="D63" s="19">
        <v>3</v>
      </c>
      <c r="E63" s="19"/>
      <c r="F63" s="38">
        <f t="shared" si="6"/>
        <v>3</v>
      </c>
      <c r="G63" s="24"/>
      <c r="H63" s="27"/>
      <c r="I63" s="21" t="s">
        <v>556</v>
      </c>
      <c r="J63" s="19" t="s">
        <v>179</v>
      </c>
      <c r="K63" s="19"/>
    </row>
    <row r="64" spans="1:12" s="17" customFormat="1" x14ac:dyDescent="0.3">
      <c r="A64" s="57" t="s">
        <v>73</v>
      </c>
      <c r="B64" s="57"/>
      <c r="C64" s="57"/>
      <c r="D64" s="30">
        <f>SUM(D58:D63)</f>
        <v>16</v>
      </c>
      <c r="E64" s="30">
        <v>2</v>
      </c>
      <c r="F64" s="30">
        <f>SUM(D64:E64)</f>
        <v>18</v>
      </c>
      <c r="G64" s="25"/>
      <c r="H64" s="28"/>
      <c r="I64" s="22"/>
      <c r="J64" s="30"/>
      <c r="K64" s="30"/>
      <c r="L64" s="39"/>
    </row>
    <row r="65" spans="1:12" x14ac:dyDescent="0.3">
      <c r="A65" s="8"/>
      <c r="B65" s="8"/>
      <c r="C65" s="8"/>
    </row>
    <row r="66" spans="1:12" x14ac:dyDescent="0.3">
      <c r="A66" s="60" t="s">
        <v>459</v>
      </c>
      <c r="B66" s="60"/>
      <c r="C66" s="60"/>
      <c r="D66" s="37"/>
      <c r="E66" s="37"/>
      <c r="F66" s="37"/>
      <c r="G66" s="31"/>
      <c r="H66" s="32"/>
      <c r="I66" s="33"/>
      <c r="J66" s="37" t="s">
        <v>179</v>
      </c>
    </row>
    <row r="67" spans="1:12" x14ac:dyDescent="0.3">
      <c r="A67" s="37"/>
      <c r="B67" s="37" t="s">
        <v>460</v>
      </c>
      <c r="C67" s="37" t="s">
        <v>462</v>
      </c>
      <c r="D67" s="37">
        <v>3</v>
      </c>
      <c r="E67" s="37"/>
      <c r="F67" s="37"/>
      <c r="G67" s="31"/>
      <c r="H67" s="32"/>
      <c r="I67" s="33"/>
      <c r="J67" s="37" t="s">
        <v>179</v>
      </c>
    </row>
    <row r="68" spans="1:12" x14ac:dyDescent="0.3">
      <c r="A68" s="37"/>
      <c r="B68" s="37" t="s">
        <v>461</v>
      </c>
      <c r="C68" s="37" t="s">
        <v>463</v>
      </c>
      <c r="D68" s="37">
        <v>3</v>
      </c>
      <c r="E68" s="37"/>
      <c r="F68" s="37"/>
      <c r="G68" s="31"/>
      <c r="H68" s="32"/>
      <c r="I68" s="33"/>
      <c r="J68" s="37" t="s">
        <v>179</v>
      </c>
    </row>
    <row r="69" spans="1:12" x14ac:dyDescent="0.3">
      <c r="A69" s="37"/>
      <c r="B69" s="37"/>
      <c r="C69" s="37"/>
      <c r="D69" s="37"/>
      <c r="E69" s="37"/>
      <c r="F69" s="37"/>
      <c r="G69" s="31"/>
      <c r="H69" s="32" t="s">
        <v>81</v>
      </c>
      <c r="I69" s="33"/>
      <c r="J69" s="37"/>
    </row>
    <row r="70" spans="1:12" x14ac:dyDescent="0.3">
      <c r="A70" s="37"/>
      <c r="B70" s="37" t="s">
        <v>61</v>
      </c>
      <c r="C70" s="37" t="s">
        <v>72</v>
      </c>
      <c r="D70" s="37">
        <v>2</v>
      </c>
      <c r="E70" s="37"/>
      <c r="F70" s="38">
        <f t="shared" ref="F70:F74" si="7">SUM(D70:E70)</f>
        <v>2</v>
      </c>
      <c r="G70" s="31"/>
      <c r="H70" s="32"/>
      <c r="I70" s="21" t="s">
        <v>92</v>
      </c>
      <c r="J70" s="37" t="s">
        <v>179</v>
      </c>
      <c r="L70" s="32" t="s">
        <v>591</v>
      </c>
    </row>
    <row r="71" spans="1:12" x14ac:dyDescent="0.3">
      <c r="A71" s="37"/>
      <c r="B71" s="37" t="s">
        <v>62</v>
      </c>
      <c r="C71" s="37" t="s">
        <v>355</v>
      </c>
      <c r="D71" s="37">
        <v>3</v>
      </c>
      <c r="E71" s="37"/>
      <c r="F71" s="38">
        <f t="shared" si="7"/>
        <v>3</v>
      </c>
      <c r="G71" s="31"/>
      <c r="H71" s="32"/>
      <c r="I71" s="21" t="s">
        <v>92</v>
      </c>
      <c r="J71" s="37" t="s">
        <v>179</v>
      </c>
      <c r="L71" s="32" t="s">
        <v>591</v>
      </c>
    </row>
    <row r="72" spans="1:12" x14ac:dyDescent="0.3">
      <c r="A72" s="37"/>
      <c r="B72" s="37" t="s">
        <v>346</v>
      </c>
      <c r="C72" s="37" t="s">
        <v>356</v>
      </c>
      <c r="D72" s="37">
        <v>3</v>
      </c>
      <c r="E72" s="37"/>
      <c r="F72" s="38">
        <f t="shared" si="7"/>
        <v>3</v>
      </c>
      <c r="G72" s="31"/>
      <c r="H72" s="32"/>
      <c r="I72" s="33" t="s">
        <v>295</v>
      </c>
      <c r="J72" s="37" t="s">
        <v>179</v>
      </c>
    </row>
    <row r="73" spans="1:12" x14ac:dyDescent="0.3">
      <c r="A73" s="37"/>
      <c r="B73" s="37" t="s">
        <v>579</v>
      </c>
      <c r="C73" s="37" t="s">
        <v>567</v>
      </c>
      <c r="D73" s="37">
        <v>3</v>
      </c>
      <c r="E73" s="37"/>
      <c r="F73" s="38">
        <f t="shared" si="7"/>
        <v>3</v>
      </c>
      <c r="G73" s="31"/>
      <c r="H73" s="32"/>
      <c r="I73" s="21" t="s">
        <v>556</v>
      </c>
      <c r="J73" s="37" t="s">
        <v>179</v>
      </c>
    </row>
    <row r="74" spans="1:12" x14ac:dyDescent="0.3">
      <c r="A74" s="37"/>
      <c r="B74" s="37" t="s">
        <v>58</v>
      </c>
      <c r="C74" s="37" t="s">
        <v>76</v>
      </c>
      <c r="D74" s="37">
        <v>2</v>
      </c>
      <c r="E74" s="37"/>
      <c r="F74" s="38">
        <f t="shared" si="7"/>
        <v>2</v>
      </c>
      <c r="G74" s="31"/>
      <c r="H74" s="32"/>
      <c r="I74" s="21" t="s">
        <v>92</v>
      </c>
      <c r="J74" s="37" t="s">
        <v>179</v>
      </c>
    </row>
    <row r="75" spans="1:12" s="17" customFormat="1" x14ac:dyDescent="0.3">
      <c r="A75" s="55" t="s">
        <v>73</v>
      </c>
      <c r="B75" s="55"/>
      <c r="C75" s="55"/>
      <c r="D75" s="35">
        <f>SUM(D70:D74)</f>
        <v>13</v>
      </c>
      <c r="G75" s="26"/>
      <c r="H75" s="29"/>
      <c r="I75" s="23"/>
      <c r="L75" s="39"/>
    </row>
    <row r="77" spans="1:12" x14ac:dyDescent="0.3">
      <c r="B77" s="38" t="s">
        <v>603</v>
      </c>
    </row>
    <row r="78" spans="1:12" x14ac:dyDescent="0.3">
      <c r="A78" s="38" t="s">
        <v>608</v>
      </c>
      <c r="B78" s="38">
        <f>SUMIF(I2:I74,I41,F2:F74)</f>
        <v>9</v>
      </c>
    </row>
    <row r="79" spans="1:12" x14ac:dyDescent="0.3">
      <c r="A79" s="38" t="s">
        <v>630</v>
      </c>
      <c r="B79" s="38">
        <f>SUMIF(I2:I74,I63,F2:F74)</f>
        <v>42</v>
      </c>
    </row>
    <row r="80" spans="1:12" x14ac:dyDescent="0.3">
      <c r="A80" s="38" t="s">
        <v>295</v>
      </c>
      <c r="B80" s="38">
        <f>SUMIF(I2:I74,I72,F2:F74)</f>
        <v>42</v>
      </c>
    </row>
    <row r="81" spans="1:2" x14ac:dyDescent="0.3">
      <c r="A81" s="38" t="s">
        <v>92</v>
      </c>
      <c r="B81" s="38">
        <f>SUMIF(I2:I74,I70,F2:F74)</f>
        <v>55</v>
      </c>
    </row>
    <row r="82" spans="1:2" x14ac:dyDescent="0.3">
      <c r="A82" s="38" t="s">
        <v>610</v>
      </c>
      <c r="B82" s="38">
        <f>SUM(B78:B81)</f>
        <v>148</v>
      </c>
    </row>
    <row r="83" spans="1:2" x14ac:dyDescent="0.3">
      <c r="A83" s="38"/>
      <c r="B83" s="38"/>
    </row>
    <row r="84" spans="1:2" x14ac:dyDescent="0.3">
      <c r="A84" s="38"/>
      <c r="B84" s="38"/>
    </row>
    <row r="85" spans="1:2" x14ac:dyDescent="0.3">
      <c r="A85" s="38" t="s">
        <v>604</v>
      </c>
      <c r="B85" s="38"/>
    </row>
    <row r="86" spans="1:2" x14ac:dyDescent="0.3">
      <c r="A86" s="38" t="s">
        <v>605</v>
      </c>
      <c r="B86" s="38" t="s">
        <v>606</v>
      </c>
    </row>
    <row r="87" spans="1:2" x14ac:dyDescent="0.3">
      <c r="A87" s="38" t="s">
        <v>607</v>
      </c>
      <c r="B87" s="38" t="s">
        <v>606</v>
      </c>
    </row>
  </sheetData>
  <mergeCells count="12">
    <mergeCell ref="A53:C53"/>
    <mergeCell ref="A56:C56"/>
    <mergeCell ref="A64:C64"/>
    <mergeCell ref="A75:C75"/>
    <mergeCell ref="A66:C66"/>
    <mergeCell ref="D1:F1"/>
    <mergeCell ref="A45:C45"/>
    <mergeCell ref="D2:F2"/>
    <mergeCell ref="A10:C10"/>
    <mergeCell ref="A20:C20"/>
    <mergeCell ref="A28:C28"/>
    <mergeCell ref="A37:C3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opLeftCell="A73" workbookViewId="0">
      <selection activeCell="H97" sqref="H97"/>
    </sheetView>
  </sheetViews>
  <sheetFormatPr defaultRowHeight="14.4" x14ac:dyDescent="0.3"/>
  <cols>
    <col min="2" max="2" width="12.109375" bestFit="1" customWidth="1"/>
    <col min="3" max="3" width="51.5546875" bestFit="1" customWidth="1"/>
    <col min="4" max="4" width="12.88671875" customWidth="1"/>
    <col min="5" max="5" width="8.33203125" customWidth="1"/>
    <col min="6" max="6" width="13.5546875" customWidth="1"/>
    <col min="7" max="7" width="10.33203125" style="1" bestFit="1" customWidth="1"/>
    <col min="8" max="8" width="14.88671875" style="2" bestFit="1" customWidth="1"/>
    <col min="9" max="9" width="30.44140625" style="3" bestFit="1" customWidth="1"/>
    <col min="10" max="10" width="39.109375" bestFit="1" customWidth="1"/>
    <col min="11" max="11" width="5.6640625" bestFit="1" customWidth="1"/>
    <col min="12" max="12" width="158.88671875" style="2" bestFit="1" customWidth="1"/>
  </cols>
  <sheetData>
    <row r="1" spans="1:12" x14ac:dyDescent="0.3">
      <c r="A1" s="11" t="s">
        <v>0</v>
      </c>
      <c r="B1" s="11" t="s">
        <v>1</v>
      </c>
      <c r="C1" s="11" t="s">
        <v>2</v>
      </c>
      <c r="D1" s="59" t="s">
        <v>3</v>
      </c>
      <c r="E1" s="59"/>
      <c r="F1" s="59"/>
      <c r="G1" s="12" t="s">
        <v>4</v>
      </c>
      <c r="H1" s="13" t="s">
        <v>5</v>
      </c>
      <c r="I1" s="14" t="s">
        <v>6</v>
      </c>
      <c r="J1" s="11" t="s">
        <v>7</v>
      </c>
      <c r="K1" s="11" t="s">
        <v>8</v>
      </c>
      <c r="L1" s="13" t="s">
        <v>9</v>
      </c>
    </row>
    <row r="2" spans="1:12" x14ac:dyDescent="0.3">
      <c r="A2" s="11" t="s">
        <v>589</v>
      </c>
      <c r="B2" s="11" t="s">
        <v>10</v>
      </c>
      <c r="C2" s="11" t="s">
        <v>11</v>
      </c>
      <c r="D2" s="59" t="s">
        <v>12</v>
      </c>
      <c r="E2" s="59"/>
      <c r="F2" s="59"/>
      <c r="G2" s="12" t="s">
        <v>13</v>
      </c>
      <c r="H2" s="13" t="s">
        <v>14</v>
      </c>
      <c r="I2" s="14"/>
      <c r="J2" s="11"/>
      <c r="K2" s="11"/>
      <c r="L2" s="13"/>
    </row>
    <row r="3" spans="1:12" x14ac:dyDescent="0.3">
      <c r="A3" s="11"/>
      <c r="B3" s="11"/>
      <c r="C3" s="11"/>
      <c r="D3" s="11" t="s">
        <v>282</v>
      </c>
      <c r="E3" s="11" t="s">
        <v>283</v>
      </c>
      <c r="F3" s="11" t="s">
        <v>284</v>
      </c>
      <c r="G3" s="12"/>
      <c r="H3" s="13"/>
      <c r="I3" s="14"/>
      <c r="J3" s="11"/>
      <c r="K3" s="11"/>
      <c r="L3" s="13"/>
    </row>
    <row r="4" spans="1:12" x14ac:dyDescent="0.3">
      <c r="A4" s="19"/>
      <c r="B4" s="19" t="s">
        <v>16</v>
      </c>
      <c r="C4" s="19" t="s">
        <v>87</v>
      </c>
      <c r="D4" s="19">
        <v>3</v>
      </c>
      <c r="E4" s="19"/>
      <c r="F4" s="19">
        <f>SUM(D4:E4)</f>
        <v>3</v>
      </c>
      <c r="G4" s="24"/>
      <c r="H4" s="27"/>
      <c r="I4" s="21" t="s">
        <v>92</v>
      </c>
      <c r="J4" s="19" t="s">
        <v>179</v>
      </c>
      <c r="K4" s="19"/>
      <c r="L4" s="27"/>
    </row>
    <row r="5" spans="1:12" x14ac:dyDescent="0.3">
      <c r="A5" s="19"/>
      <c r="B5" s="19" t="s">
        <v>29</v>
      </c>
      <c r="C5" s="19" t="s">
        <v>101</v>
      </c>
      <c r="D5" s="19">
        <v>2</v>
      </c>
      <c r="E5" s="19"/>
      <c r="F5" s="38">
        <f t="shared" ref="F5:F11" si="0">SUM(D5:E5)</f>
        <v>2</v>
      </c>
      <c r="G5" s="24"/>
      <c r="H5" s="27"/>
      <c r="I5" s="21" t="s">
        <v>92</v>
      </c>
      <c r="J5" s="19" t="s">
        <v>179</v>
      </c>
      <c r="K5" s="19"/>
      <c r="L5" s="27"/>
    </row>
    <row r="6" spans="1:12" x14ac:dyDescent="0.3">
      <c r="A6" s="19"/>
      <c r="B6" s="19" t="s">
        <v>17</v>
      </c>
      <c r="C6" s="19" t="s">
        <v>88</v>
      </c>
      <c r="D6" s="19">
        <v>3</v>
      </c>
      <c r="E6" s="19"/>
      <c r="F6" s="38">
        <f t="shared" si="0"/>
        <v>3</v>
      </c>
      <c r="G6" s="24"/>
      <c r="H6" s="27"/>
      <c r="I6" s="21" t="s">
        <v>102</v>
      </c>
      <c r="J6" s="19" t="s">
        <v>179</v>
      </c>
      <c r="K6" s="19"/>
      <c r="L6" s="27"/>
    </row>
    <row r="7" spans="1:12" x14ac:dyDescent="0.3">
      <c r="A7" s="19"/>
      <c r="B7" s="19" t="s">
        <v>18</v>
      </c>
      <c r="C7" s="19" t="s">
        <v>89</v>
      </c>
      <c r="D7" s="19">
        <v>3</v>
      </c>
      <c r="E7" s="19"/>
      <c r="F7" s="38">
        <f t="shared" si="0"/>
        <v>3</v>
      </c>
      <c r="G7" s="24"/>
      <c r="H7" s="27"/>
      <c r="I7" s="21" t="s">
        <v>93</v>
      </c>
      <c r="J7" s="19" t="s">
        <v>179</v>
      </c>
      <c r="K7" s="19"/>
      <c r="L7" s="27"/>
    </row>
    <row r="8" spans="1:12" x14ac:dyDescent="0.3">
      <c r="A8" s="19"/>
      <c r="B8" s="19" t="s">
        <v>19</v>
      </c>
      <c r="C8" s="19" t="s">
        <v>107</v>
      </c>
      <c r="D8" s="19">
        <v>3</v>
      </c>
      <c r="E8" s="19"/>
      <c r="F8" s="38">
        <f t="shared" si="0"/>
        <v>3</v>
      </c>
      <c r="G8" s="24"/>
      <c r="H8" s="27"/>
      <c r="I8" s="21" t="s">
        <v>93</v>
      </c>
      <c r="J8" s="19" t="s">
        <v>179</v>
      </c>
      <c r="K8" s="19"/>
      <c r="L8" s="27"/>
    </row>
    <row r="9" spans="1:12" x14ac:dyDescent="0.3">
      <c r="A9" s="19"/>
      <c r="B9" s="19" t="s">
        <v>287</v>
      </c>
      <c r="C9" s="19" t="s">
        <v>292</v>
      </c>
      <c r="D9" s="19">
        <v>1</v>
      </c>
      <c r="E9" s="19"/>
      <c r="F9" s="38">
        <f t="shared" si="0"/>
        <v>1</v>
      </c>
      <c r="G9" s="24"/>
      <c r="H9" s="27"/>
      <c r="I9" s="21" t="s">
        <v>296</v>
      </c>
      <c r="J9" s="19" t="s">
        <v>179</v>
      </c>
      <c r="K9" s="19"/>
      <c r="L9" s="27"/>
    </row>
    <row r="10" spans="1:12" x14ac:dyDescent="0.3">
      <c r="A10" s="19"/>
      <c r="B10" s="19" t="s">
        <v>288</v>
      </c>
      <c r="C10" s="19" t="s">
        <v>293</v>
      </c>
      <c r="D10" s="19">
        <v>2</v>
      </c>
      <c r="E10" s="19"/>
      <c r="F10" s="38">
        <f t="shared" si="0"/>
        <v>2</v>
      </c>
      <c r="G10" s="24"/>
      <c r="H10" s="27"/>
      <c r="I10" s="21" t="s">
        <v>296</v>
      </c>
      <c r="J10" s="19" t="s">
        <v>179</v>
      </c>
      <c r="K10" s="19"/>
      <c r="L10" s="27"/>
    </row>
    <row r="11" spans="1:12" x14ac:dyDescent="0.3">
      <c r="A11" s="19"/>
      <c r="B11" s="19" t="s">
        <v>289</v>
      </c>
      <c r="C11" s="19" t="s">
        <v>294</v>
      </c>
      <c r="D11" s="19">
        <v>1</v>
      </c>
      <c r="E11" s="19"/>
      <c r="F11" s="38">
        <f t="shared" si="0"/>
        <v>1</v>
      </c>
      <c r="G11" s="24"/>
      <c r="H11" s="27"/>
      <c r="I11" s="21" t="s">
        <v>296</v>
      </c>
      <c r="J11" s="19" t="s">
        <v>179</v>
      </c>
      <c r="K11" s="19"/>
      <c r="L11" s="27"/>
    </row>
    <row r="12" spans="1:12" s="17" customFormat="1" x14ac:dyDescent="0.3">
      <c r="A12" s="57" t="s">
        <v>73</v>
      </c>
      <c r="B12" s="57"/>
      <c r="C12" s="57"/>
      <c r="D12" s="30">
        <f>SUM(D4:D11)</f>
        <v>18</v>
      </c>
      <c r="E12" s="30"/>
      <c r="F12" s="30"/>
      <c r="G12" s="25"/>
      <c r="H12" s="28"/>
      <c r="I12" s="22"/>
      <c r="J12" s="30"/>
      <c r="K12" s="30"/>
      <c r="L12" s="28"/>
    </row>
    <row r="13" spans="1:12" x14ac:dyDescent="0.3">
      <c r="A13" s="19"/>
      <c r="B13" s="19"/>
      <c r="C13" s="19"/>
      <c r="D13" s="19"/>
      <c r="E13" s="19"/>
      <c r="F13" s="19"/>
      <c r="G13" s="24"/>
      <c r="H13" s="27" t="s">
        <v>81</v>
      </c>
      <c r="I13" s="21"/>
      <c r="J13" s="19"/>
      <c r="K13" s="19"/>
      <c r="L13" s="27"/>
    </row>
    <row r="14" spans="1:12" x14ac:dyDescent="0.3">
      <c r="A14" s="19"/>
      <c r="B14" s="19" t="s">
        <v>22</v>
      </c>
      <c r="C14" s="19" t="s">
        <v>95</v>
      </c>
      <c r="D14" s="19">
        <v>2</v>
      </c>
      <c r="E14" s="19"/>
      <c r="F14" s="38">
        <f t="shared" ref="F14:F22" si="1">SUM(D14:E14)</f>
        <v>2</v>
      </c>
      <c r="G14" s="24"/>
      <c r="H14" s="27"/>
      <c r="I14" s="21" t="s">
        <v>92</v>
      </c>
      <c r="J14" s="19" t="s">
        <v>179</v>
      </c>
      <c r="K14" s="19"/>
      <c r="L14" s="27"/>
    </row>
    <row r="15" spans="1:12" x14ac:dyDescent="0.3">
      <c r="A15" s="19"/>
      <c r="B15" s="19" t="s">
        <v>23</v>
      </c>
      <c r="C15" s="19" t="s">
        <v>96</v>
      </c>
      <c r="D15" s="19">
        <v>2</v>
      </c>
      <c r="E15" s="19"/>
      <c r="F15" s="38">
        <f t="shared" si="1"/>
        <v>2</v>
      </c>
      <c r="G15" s="24"/>
      <c r="H15" s="27"/>
      <c r="I15" s="21" t="s">
        <v>92</v>
      </c>
      <c r="J15" s="19" t="s">
        <v>179</v>
      </c>
      <c r="K15" s="19"/>
      <c r="L15" s="27" t="s">
        <v>592</v>
      </c>
    </row>
    <row r="16" spans="1:12" x14ac:dyDescent="0.3">
      <c r="A16" s="19"/>
      <c r="B16" s="19" t="s">
        <v>24</v>
      </c>
      <c r="C16" s="19" t="s">
        <v>170</v>
      </c>
      <c r="D16" s="19">
        <v>1</v>
      </c>
      <c r="E16" s="19"/>
      <c r="F16" s="38">
        <f t="shared" si="1"/>
        <v>1</v>
      </c>
      <c r="G16" s="24"/>
      <c r="H16" s="27"/>
      <c r="I16" s="21" t="s">
        <v>102</v>
      </c>
      <c r="J16" s="19" t="s">
        <v>179</v>
      </c>
      <c r="K16" s="19"/>
      <c r="L16" s="27"/>
    </row>
    <row r="17" spans="1:12" x14ac:dyDescent="0.3">
      <c r="A17" s="19"/>
      <c r="B17" s="19" t="s">
        <v>25</v>
      </c>
      <c r="C17" s="19" t="s">
        <v>98</v>
      </c>
      <c r="D17" s="19">
        <v>2</v>
      </c>
      <c r="E17" s="19"/>
      <c r="F17" s="38">
        <f t="shared" si="1"/>
        <v>2</v>
      </c>
      <c r="G17" s="24"/>
      <c r="H17" s="27"/>
      <c r="I17" s="21" t="s">
        <v>102</v>
      </c>
      <c r="J17" s="19" t="s">
        <v>179</v>
      </c>
      <c r="K17" s="19"/>
      <c r="L17" s="27"/>
    </row>
    <row r="18" spans="1:12" x14ac:dyDescent="0.3">
      <c r="A18" s="19"/>
      <c r="B18" s="19" t="s">
        <v>26</v>
      </c>
      <c r="C18" s="19" t="s">
        <v>106</v>
      </c>
      <c r="D18" s="19">
        <v>3</v>
      </c>
      <c r="E18" s="19"/>
      <c r="F18" s="38">
        <f t="shared" si="1"/>
        <v>3</v>
      </c>
      <c r="G18" s="24"/>
      <c r="H18" s="27"/>
      <c r="I18" s="21" t="s">
        <v>93</v>
      </c>
      <c r="J18" s="19" t="s">
        <v>179</v>
      </c>
      <c r="K18" s="19"/>
      <c r="L18" s="27"/>
    </row>
    <row r="19" spans="1:12" x14ac:dyDescent="0.3">
      <c r="A19" s="19"/>
      <c r="B19" s="19" t="s">
        <v>27</v>
      </c>
      <c r="C19" s="19" t="s">
        <v>99</v>
      </c>
      <c r="D19" s="19">
        <v>3</v>
      </c>
      <c r="E19" s="19"/>
      <c r="F19" s="38">
        <f t="shared" si="1"/>
        <v>3</v>
      </c>
      <c r="G19" s="24"/>
      <c r="H19" s="27"/>
      <c r="I19" s="21" t="s">
        <v>93</v>
      </c>
      <c r="J19" s="19" t="s">
        <v>179</v>
      </c>
      <c r="K19" s="19"/>
      <c r="L19" s="27"/>
    </row>
    <row r="20" spans="1:12" x14ac:dyDescent="0.3">
      <c r="A20" s="19"/>
      <c r="B20" s="19" t="s">
        <v>298</v>
      </c>
      <c r="C20" s="19" t="s">
        <v>303</v>
      </c>
      <c r="D20" s="19">
        <v>2</v>
      </c>
      <c r="E20" s="19">
        <v>1</v>
      </c>
      <c r="F20" s="38">
        <f t="shared" si="1"/>
        <v>3</v>
      </c>
      <c r="G20" s="24"/>
      <c r="H20" s="27"/>
      <c r="I20" s="21" t="s">
        <v>296</v>
      </c>
      <c r="J20" s="19" t="s">
        <v>179</v>
      </c>
      <c r="K20" s="19"/>
      <c r="L20" s="27"/>
    </row>
    <row r="21" spans="1:12" x14ac:dyDescent="0.3">
      <c r="A21" s="19"/>
      <c r="B21" s="19" t="s">
        <v>299</v>
      </c>
      <c r="C21" s="19" t="s">
        <v>293</v>
      </c>
      <c r="D21" s="19">
        <v>1</v>
      </c>
      <c r="E21" s="19"/>
      <c r="F21" s="38">
        <f t="shared" si="1"/>
        <v>1</v>
      </c>
      <c r="G21" s="24"/>
      <c r="H21" s="27"/>
      <c r="I21" s="21" t="s">
        <v>296</v>
      </c>
      <c r="J21" s="19" t="s">
        <v>179</v>
      </c>
      <c r="K21" s="19"/>
      <c r="L21" s="27"/>
    </row>
    <row r="22" spans="1:12" x14ac:dyDescent="0.3">
      <c r="A22" s="19"/>
      <c r="B22" s="19" t="s">
        <v>300</v>
      </c>
      <c r="C22" s="19" t="s">
        <v>304</v>
      </c>
      <c r="D22" s="19">
        <v>1</v>
      </c>
      <c r="E22" s="19"/>
      <c r="F22" s="38">
        <f t="shared" si="1"/>
        <v>1</v>
      </c>
      <c r="G22" s="24"/>
      <c r="H22" s="27"/>
      <c r="I22" s="21" t="s">
        <v>296</v>
      </c>
      <c r="J22" s="19" t="s">
        <v>179</v>
      </c>
      <c r="K22" s="19"/>
      <c r="L22" s="27"/>
    </row>
    <row r="23" spans="1:12" s="17" customFormat="1" x14ac:dyDescent="0.3">
      <c r="A23" s="57" t="s">
        <v>73</v>
      </c>
      <c r="B23" s="57"/>
      <c r="C23" s="57"/>
      <c r="D23" s="30">
        <f>SUM(D14:D22)</f>
        <v>17</v>
      </c>
      <c r="E23" s="30">
        <v>1</v>
      </c>
      <c r="F23" s="30">
        <f>SUM(D23:E23)</f>
        <v>18</v>
      </c>
      <c r="G23" s="25"/>
      <c r="H23" s="28"/>
      <c r="I23" s="22"/>
      <c r="J23" s="30"/>
      <c r="K23" s="30"/>
      <c r="L23" s="28"/>
    </row>
    <row r="24" spans="1:12" x14ac:dyDescent="0.3">
      <c r="A24" s="19"/>
      <c r="B24" s="19"/>
      <c r="C24" s="19"/>
      <c r="D24" s="19"/>
      <c r="E24" s="19"/>
      <c r="F24" s="19"/>
      <c r="G24" s="24" t="s">
        <v>136</v>
      </c>
      <c r="H24" s="27" t="s">
        <v>14</v>
      </c>
      <c r="I24" s="21"/>
      <c r="J24" s="19"/>
      <c r="K24" s="19"/>
      <c r="L24" s="27"/>
    </row>
    <row r="25" spans="1:12" x14ac:dyDescent="0.3">
      <c r="A25" s="19"/>
      <c r="B25" s="19" t="s">
        <v>30</v>
      </c>
      <c r="C25" s="19" t="s">
        <v>103</v>
      </c>
      <c r="D25" s="19">
        <v>3</v>
      </c>
      <c r="E25" s="19"/>
      <c r="F25" s="38">
        <f t="shared" ref="F25:F30" si="2">SUM(D25:E25)</f>
        <v>3</v>
      </c>
      <c r="G25" s="24"/>
      <c r="H25" s="27"/>
      <c r="I25" s="21" t="s">
        <v>92</v>
      </c>
      <c r="J25" s="19" t="s">
        <v>179</v>
      </c>
      <c r="K25" s="19"/>
      <c r="L25" s="27" t="s">
        <v>594</v>
      </c>
    </row>
    <row r="26" spans="1:12" x14ac:dyDescent="0.3">
      <c r="A26" s="19"/>
      <c r="B26" s="19" t="s">
        <v>31</v>
      </c>
      <c r="C26" s="19" t="s">
        <v>380</v>
      </c>
      <c r="D26" s="19">
        <v>3</v>
      </c>
      <c r="E26" s="19"/>
      <c r="F26" s="38">
        <f t="shared" si="2"/>
        <v>3</v>
      </c>
      <c r="G26" s="24"/>
      <c r="H26" s="27"/>
      <c r="I26" s="21" t="s">
        <v>92</v>
      </c>
      <c r="J26" s="19" t="s">
        <v>179</v>
      </c>
      <c r="K26" s="19"/>
      <c r="L26" s="27"/>
    </row>
    <row r="27" spans="1:12" x14ac:dyDescent="0.3">
      <c r="A27" s="19"/>
      <c r="B27" s="19" t="s">
        <v>58</v>
      </c>
      <c r="C27" s="19" t="s">
        <v>76</v>
      </c>
      <c r="D27" s="19">
        <v>2</v>
      </c>
      <c r="E27" s="19"/>
      <c r="F27" s="38">
        <f t="shared" si="2"/>
        <v>2</v>
      </c>
      <c r="G27" s="24"/>
      <c r="H27" s="27"/>
      <c r="I27" s="21" t="s">
        <v>92</v>
      </c>
      <c r="J27" s="19" t="s">
        <v>179</v>
      </c>
      <c r="K27" s="19"/>
      <c r="L27" s="27"/>
    </row>
    <row r="28" spans="1:12" x14ac:dyDescent="0.3">
      <c r="A28" s="19"/>
      <c r="B28" s="19" t="s">
        <v>82</v>
      </c>
      <c r="C28" s="19" t="s">
        <v>107</v>
      </c>
      <c r="D28" s="19">
        <v>3</v>
      </c>
      <c r="E28" s="19"/>
      <c r="F28" s="38">
        <f t="shared" si="2"/>
        <v>3</v>
      </c>
      <c r="G28" s="24"/>
      <c r="H28" s="27"/>
      <c r="I28" s="21" t="s">
        <v>93</v>
      </c>
      <c r="J28" s="19" t="s">
        <v>179</v>
      </c>
      <c r="K28" s="19"/>
      <c r="L28" s="27"/>
    </row>
    <row r="29" spans="1:12" x14ac:dyDescent="0.3">
      <c r="A29" s="19"/>
      <c r="B29" s="19" t="s">
        <v>307</v>
      </c>
      <c r="C29" s="19" t="s">
        <v>315</v>
      </c>
      <c r="D29" s="19">
        <v>2</v>
      </c>
      <c r="E29" s="19">
        <v>1</v>
      </c>
      <c r="F29" s="38">
        <f t="shared" si="2"/>
        <v>3</v>
      </c>
      <c r="G29" s="24"/>
      <c r="H29" s="27"/>
      <c r="I29" s="21" t="s">
        <v>296</v>
      </c>
      <c r="J29" s="19" t="s">
        <v>179</v>
      </c>
      <c r="K29" s="19"/>
      <c r="L29" s="27"/>
    </row>
    <row r="30" spans="1:12" x14ac:dyDescent="0.3">
      <c r="A30" s="19"/>
      <c r="B30" s="19" t="s">
        <v>308</v>
      </c>
      <c r="C30" s="19" t="s">
        <v>374</v>
      </c>
      <c r="D30" s="19">
        <v>2</v>
      </c>
      <c r="E30" s="19">
        <v>1</v>
      </c>
      <c r="F30" s="38">
        <f t="shared" si="2"/>
        <v>3</v>
      </c>
      <c r="G30" s="24"/>
      <c r="H30" s="27"/>
      <c r="I30" s="21" t="s">
        <v>296</v>
      </c>
      <c r="J30" s="19" t="s">
        <v>179</v>
      </c>
      <c r="K30" s="19"/>
      <c r="L30" s="27"/>
    </row>
    <row r="31" spans="1:12" s="17" customFormat="1" x14ac:dyDescent="0.3">
      <c r="A31" s="57" t="s">
        <v>73</v>
      </c>
      <c r="B31" s="57"/>
      <c r="C31" s="57"/>
      <c r="D31" s="30">
        <f>SUM(D25:D30)</f>
        <v>15</v>
      </c>
      <c r="E31" s="30">
        <v>2</v>
      </c>
      <c r="F31" s="30">
        <f>SUM(D31:E31)</f>
        <v>17</v>
      </c>
      <c r="G31" s="25"/>
      <c r="H31" s="28"/>
      <c r="I31" s="22"/>
      <c r="J31" s="30"/>
      <c r="K31" s="30"/>
      <c r="L31" s="28"/>
    </row>
    <row r="32" spans="1:12" x14ac:dyDescent="0.3">
      <c r="A32" s="19"/>
      <c r="B32" s="19"/>
      <c r="C32" s="19"/>
      <c r="D32" s="19"/>
      <c r="E32" s="19"/>
      <c r="F32" s="19"/>
      <c r="G32" s="24"/>
      <c r="H32" s="27" t="s">
        <v>81</v>
      </c>
      <c r="I32" s="21"/>
      <c r="J32" s="19"/>
      <c r="K32" s="19"/>
      <c r="L32" s="27"/>
    </row>
    <row r="33" spans="1:12" x14ac:dyDescent="0.3">
      <c r="A33" s="19"/>
      <c r="B33" s="19" t="s">
        <v>35</v>
      </c>
      <c r="C33" s="19" t="s">
        <v>110</v>
      </c>
      <c r="D33" s="19">
        <v>3</v>
      </c>
      <c r="E33" s="19"/>
      <c r="F33" s="38">
        <f t="shared" ref="F33:F38" si="3">SUM(D33:E33)</f>
        <v>3</v>
      </c>
      <c r="G33" s="24"/>
      <c r="H33" s="27"/>
      <c r="I33" s="21" t="s">
        <v>92</v>
      </c>
      <c r="J33" s="19" t="s">
        <v>179</v>
      </c>
      <c r="K33" s="19"/>
      <c r="L33" s="27" t="s">
        <v>595</v>
      </c>
    </row>
    <row r="34" spans="1:12" x14ac:dyDescent="0.3">
      <c r="A34" s="19"/>
      <c r="B34" s="19" t="s">
        <v>36</v>
      </c>
      <c r="C34" s="19" t="s">
        <v>111</v>
      </c>
      <c r="D34" s="19">
        <v>3</v>
      </c>
      <c r="E34" s="19"/>
      <c r="F34" s="38">
        <f t="shared" si="3"/>
        <v>3</v>
      </c>
      <c r="G34" s="24"/>
      <c r="H34" s="27"/>
      <c r="I34" s="21" t="s">
        <v>92</v>
      </c>
      <c r="J34" s="19" t="s">
        <v>179</v>
      </c>
      <c r="K34" s="19"/>
      <c r="L34" s="27"/>
    </row>
    <row r="35" spans="1:12" x14ac:dyDescent="0.3">
      <c r="A35" s="19"/>
      <c r="B35" s="19" t="s">
        <v>37</v>
      </c>
      <c r="C35" s="19" t="s">
        <v>115</v>
      </c>
      <c r="D35" s="19">
        <v>3</v>
      </c>
      <c r="E35" s="19"/>
      <c r="F35" s="38">
        <f t="shared" si="3"/>
        <v>3</v>
      </c>
      <c r="G35" s="24"/>
      <c r="H35" s="27"/>
      <c r="I35" s="21" t="s">
        <v>102</v>
      </c>
      <c r="J35" s="19" t="s">
        <v>179</v>
      </c>
      <c r="K35" s="19"/>
      <c r="L35" s="27"/>
    </row>
    <row r="36" spans="1:12" x14ac:dyDescent="0.3">
      <c r="A36" s="19"/>
      <c r="B36" s="19" t="s">
        <v>38</v>
      </c>
      <c r="C36" s="19" t="s">
        <v>114</v>
      </c>
      <c r="D36" s="19">
        <v>3</v>
      </c>
      <c r="E36" s="19"/>
      <c r="F36" s="38">
        <f t="shared" si="3"/>
        <v>3</v>
      </c>
      <c r="G36" s="24"/>
      <c r="H36" s="27"/>
      <c r="I36" s="21" t="s">
        <v>93</v>
      </c>
      <c r="J36" s="19" t="s">
        <v>179</v>
      </c>
      <c r="K36" s="19"/>
      <c r="L36" s="27"/>
    </row>
    <row r="37" spans="1:12" x14ac:dyDescent="0.3">
      <c r="A37" s="19"/>
      <c r="B37" s="19" t="s">
        <v>311</v>
      </c>
      <c r="C37" s="19" t="s">
        <v>320</v>
      </c>
      <c r="D37" s="19">
        <v>2</v>
      </c>
      <c r="E37" s="19">
        <v>1</v>
      </c>
      <c r="F37" s="38">
        <f t="shared" si="3"/>
        <v>3</v>
      </c>
      <c r="G37" s="24"/>
      <c r="H37" s="27"/>
      <c r="I37" s="21" t="s">
        <v>296</v>
      </c>
      <c r="J37" s="19" t="s">
        <v>179</v>
      </c>
      <c r="K37" s="19"/>
      <c r="L37" s="27"/>
    </row>
    <row r="38" spans="1:12" x14ac:dyDescent="0.3">
      <c r="A38" s="19"/>
      <c r="B38" s="19" t="s">
        <v>32</v>
      </c>
      <c r="C38" s="19" t="s">
        <v>105</v>
      </c>
      <c r="D38" s="19">
        <v>3</v>
      </c>
      <c r="E38" s="19"/>
      <c r="F38" s="38">
        <f t="shared" si="3"/>
        <v>3</v>
      </c>
      <c r="G38" s="24"/>
      <c r="H38" s="27"/>
      <c r="I38" s="21" t="s">
        <v>93</v>
      </c>
      <c r="J38" s="19" t="s">
        <v>179</v>
      </c>
      <c r="K38" s="19"/>
      <c r="L38" s="27"/>
    </row>
    <row r="39" spans="1:12" s="17" customFormat="1" x14ac:dyDescent="0.3">
      <c r="A39" s="57" t="s">
        <v>73</v>
      </c>
      <c r="B39" s="57"/>
      <c r="C39" s="57"/>
      <c r="D39" s="30">
        <f>SUM(D33:D38)</f>
        <v>17</v>
      </c>
      <c r="E39" s="30">
        <v>1</v>
      </c>
      <c r="F39" s="30">
        <f>SUM(D39:E39)</f>
        <v>18</v>
      </c>
      <c r="G39" s="25"/>
      <c r="H39" s="28"/>
      <c r="I39" s="22"/>
      <c r="J39" s="30"/>
      <c r="K39" s="30"/>
      <c r="L39" s="28"/>
    </row>
    <row r="40" spans="1:12" x14ac:dyDescent="0.3">
      <c r="A40" s="19"/>
      <c r="B40" s="19"/>
      <c r="C40" s="19"/>
      <c r="D40" s="19"/>
      <c r="E40" s="19"/>
      <c r="F40" s="19"/>
      <c r="G40" s="24" t="s">
        <v>84</v>
      </c>
      <c r="H40" s="27" t="s">
        <v>159</v>
      </c>
      <c r="I40" s="21"/>
      <c r="J40" s="19"/>
      <c r="K40" s="19"/>
      <c r="L40" s="27"/>
    </row>
    <row r="41" spans="1:12" x14ac:dyDescent="0.3">
      <c r="A41" s="19"/>
      <c r="B41" s="19" t="s">
        <v>41</v>
      </c>
      <c r="C41" s="19" t="s">
        <v>116</v>
      </c>
      <c r="D41" s="19">
        <v>3</v>
      </c>
      <c r="E41" s="19"/>
      <c r="F41" s="38">
        <f t="shared" ref="F41:F46" si="4">SUM(D41:E41)</f>
        <v>3</v>
      </c>
      <c r="G41" s="24"/>
      <c r="H41" s="27"/>
      <c r="I41" s="21" t="s">
        <v>92</v>
      </c>
      <c r="J41" s="19" t="s">
        <v>179</v>
      </c>
      <c r="K41" s="19"/>
      <c r="L41" s="27" t="s">
        <v>596</v>
      </c>
    </row>
    <row r="42" spans="1:12" x14ac:dyDescent="0.3">
      <c r="A42" s="19"/>
      <c r="B42" s="19" t="s">
        <v>42</v>
      </c>
      <c r="C42" s="19" t="s">
        <v>117</v>
      </c>
      <c r="D42" s="19">
        <v>3</v>
      </c>
      <c r="E42" s="19"/>
      <c r="F42" s="38">
        <f t="shared" si="4"/>
        <v>3</v>
      </c>
      <c r="G42" s="24"/>
      <c r="H42" s="27"/>
      <c r="I42" s="21" t="s">
        <v>92</v>
      </c>
      <c r="J42" s="19" t="s">
        <v>179</v>
      </c>
      <c r="K42" s="19"/>
      <c r="L42" s="27" t="s">
        <v>598</v>
      </c>
    </row>
    <row r="43" spans="1:12" x14ac:dyDescent="0.3">
      <c r="A43" s="19"/>
      <c r="B43" s="19" t="s">
        <v>321</v>
      </c>
      <c r="C43" s="19" t="s">
        <v>328</v>
      </c>
      <c r="D43" s="19">
        <v>1</v>
      </c>
      <c r="E43" s="19">
        <v>1</v>
      </c>
      <c r="F43" s="38">
        <f t="shared" si="4"/>
        <v>2</v>
      </c>
      <c r="G43" s="24"/>
      <c r="H43" s="27"/>
      <c r="I43" s="21" t="s">
        <v>296</v>
      </c>
      <c r="J43" s="19" t="s">
        <v>179</v>
      </c>
      <c r="K43" s="19"/>
      <c r="L43" s="27"/>
    </row>
    <row r="44" spans="1:12" x14ac:dyDescent="0.3">
      <c r="A44" s="19"/>
      <c r="B44" s="19" t="s">
        <v>43</v>
      </c>
      <c r="C44" s="19" t="s">
        <v>118</v>
      </c>
      <c r="D44" s="19">
        <v>3</v>
      </c>
      <c r="E44" s="19"/>
      <c r="F44" s="38">
        <f t="shared" si="4"/>
        <v>3</v>
      </c>
      <c r="G44" s="24"/>
      <c r="H44" s="27"/>
      <c r="I44" s="21" t="s">
        <v>93</v>
      </c>
      <c r="J44" s="19" t="s">
        <v>179</v>
      </c>
      <c r="K44" s="19"/>
      <c r="L44" s="27"/>
    </row>
    <row r="45" spans="1:12" x14ac:dyDescent="0.3">
      <c r="A45" s="19"/>
      <c r="B45" s="19" t="s">
        <v>323</v>
      </c>
      <c r="C45" s="19" t="s">
        <v>325</v>
      </c>
      <c r="D45" s="19">
        <v>2</v>
      </c>
      <c r="E45" s="19">
        <v>1</v>
      </c>
      <c r="F45" s="38">
        <f t="shared" si="4"/>
        <v>3</v>
      </c>
      <c r="G45" s="24"/>
      <c r="H45" s="27"/>
      <c r="I45" s="21" t="s">
        <v>296</v>
      </c>
      <c r="J45" s="19" t="s">
        <v>179</v>
      </c>
      <c r="K45" s="19"/>
      <c r="L45" s="27"/>
    </row>
    <row r="46" spans="1:12" x14ac:dyDescent="0.3">
      <c r="A46" s="19"/>
      <c r="B46" s="19" t="s">
        <v>349</v>
      </c>
      <c r="C46" s="19" t="s">
        <v>359</v>
      </c>
      <c r="D46" s="19">
        <v>3</v>
      </c>
      <c r="E46" s="19"/>
      <c r="F46" s="38">
        <f t="shared" si="4"/>
        <v>3</v>
      </c>
      <c r="G46" s="24"/>
      <c r="H46" s="27"/>
      <c r="I46" s="21" t="s">
        <v>296</v>
      </c>
      <c r="J46" s="19" t="s">
        <v>179</v>
      </c>
      <c r="K46" s="19"/>
      <c r="L46" s="27"/>
    </row>
    <row r="47" spans="1:12" s="17" customFormat="1" x14ac:dyDescent="0.3">
      <c r="A47" s="57" t="s">
        <v>73</v>
      </c>
      <c r="B47" s="57"/>
      <c r="C47" s="57"/>
      <c r="D47" s="30">
        <f>SUM(D41:D46)</f>
        <v>15</v>
      </c>
      <c r="E47" s="30">
        <v>2</v>
      </c>
      <c r="F47" s="30">
        <f>SUM(D47:E47)</f>
        <v>17</v>
      </c>
      <c r="G47" s="25"/>
      <c r="H47" s="28"/>
      <c r="I47" s="22"/>
      <c r="J47" s="30"/>
      <c r="K47" s="30"/>
      <c r="L47" s="28"/>
    </row>
    <row r="48" spans="1:12" x14ac:dyDescent="0.3">
      <c r="A48" s="19"/>
      <c r="B48" s="19"/>
      <c r="C48" s="19"/>
      <c r="D48" s="19"/>
      <c r="E48" s="19"/>
      <c r="F48" s="19"/>
      <c r="G48" s="24"/>
      <c r="H48" s="27" t="s">
        <v>81</v>
      </c>
      <c r="I48" s="21"/>
      <c r="J48" s="19"/>
      <c r="K48" s="19"/>
      <c r="L48" s="27"/>
    </row>
    <row r="49" spans="1:12" x14ac:dyDescent="0.3">
      <c r="A49" s="19"/>
      <c r="B49" s="19" t="s">
        <v>332</v>
      </c>
      <c r="C49" s="19" t="s">
        <v>339</v>
      </c>
      <c r="D49" s="19">
        <v>3</v>
      </c>
      <c r="E49" s="19"/>
      <c r="F49" s="38">
        <f t="shared" ref="F49:F54" si="5">SUM(D49:E49)</f>
        <v>3</v>
      </c>
      <c r="G49" s="24"/>
      <c r="H49" s="27"/>
      <c r="I49" s="21" t="s">
        <v>92</v>
      </c>
      <c r="J49" s="19" t="s">
        <v>179</v>
      </c>
      <c r="K49" s="19"/>
      <c r="L49" s="27"/>
    </row>
    <row r="50" spans="1:12" x14ac:dyDescent="0.3">
      <c r="A50" s="19"/>
      <c r="B50" s="19" t="s">
        <v>47</v>
      </c>
      <c r="C50" s="19" t="s">
        <v>590</v>
      </c>
      <c r="D50" s="19">
        <v>3</v>
      </c>
      <c r="E50" s="19"/>
      <c r="F50" s="38">
        <f t="shared" si="5"/>
        <v>3</v>
      </c>
      <c r="G50" s="24"/>
      <c r="H50" s="27"/>
      <c r="I50" s="21" t="s">
        <v>92</v>
      </c>
      <c r="J50" s="19" t="s">
        <v>179</v>
      </c>
      <c r="K50" s="19"/>
      <c r="L50" s="27" t="s">
        <v>600</v>
      </c>
    </row>
    <row r="51" spans="1:12" x14ac:dyDescent="0.3">
      <c r="A51" s="19"/>
      <c r="B51" s="19" t="s">
        <v>49</v>
      </c>
      <c r="C51" s="19" t="s">
        <v>124</v>
      </c>
      <c r="D51" s="19">
        <v>3</v>
      </c>
      <c r="E51" s="19"/>
      <c r="F51" s="38">
        <f t="shared" si="5"/>
        <v>3</v>
      </c>
      <c r="G51" s="24"/>
      <c r="H51" s="27"/>
      <c r="I51" s="21" t="s">
        <v>92</v>
      </c>
      <c r="J51" s="19" t="s">
        <v>179</v>
      </c>
      <c r="K51" s="19"/>
      <c r="L51" s="27" t="s">
        <v>597</v>
      </c>
    </row>
    <row r="52" spans="1:12" x14ac:dyDescent="0.3">
      <c r="A52" s="19"/>
      <c r="B52" s="19" t="s">
        <v>50</v>
      </c>
      <c r="C52" s="19" t="s">
        <v>125</v>
      </c>
      <c r="D52" s="19">
        <v>3</v>
      </c>
      <c r="E52" s="19"/>
      <c r="F52" s="38">
        <f t="shared" si="5"/>
        <v>3</v>
      </c>
      <c r="G52" s="24"/>
      <c r="H52" s="27"/>
      <c r="I52" s="21" t="s">
        <v>93</v>
      </c>
      <c r="J52" s="19" t="s">
        <v>179</v>
      </c>
      <c r="K52" s="19"/>
      <c r="L52" s="27"/>
    </row>
    <row r="53" spans="1:12" x14ac:dyDescent="0.3">
      <c r="A53" s="19"/>
      <c r="B53" s="19" t="s">
        <v>334</v>
      </c>
      <c r="C53" s="19" t="s">
        <v>335</v>
      </c>
      <c r="D53" s="19">
        <v>2</v>
      </c>
      <c r="E53" s="19">
        <v>1</v>
      </c>
      <c r="F53" s="38">
        <f t="shared" si="5"/>
        <v>3</v>
      </c>
      <c r="G53" s="24"/>
      <c r="H53" s="27"/>
      <c r="I53" s="21" t="s">
        <v>296</v>
      </c>
      <c r="J53" s="19" t="s">
        <v>179</v>
      </c>
      <c r="K53" s="19"/>
      <c r="L53" s="27"/>
    </row>
    <row r="54" spans="1:12" x14ac:dyDescent="0.3">
      <c r="A54" s="19"/>
      <c r="B54" s="19" t="s">
        <v>44</v>
      </c>
      <c r="C54" s="19" t="s">
        <v>138</v>
      </c>
      <c r="D54" s="19">
        <v>3</v>
      </c>
      <c r="E54" s="19"/>
      <c r="F54" s="38">
        <f t="shared" si="5"/>
        <v>3</v>
      </c>
      <c r="G54" s="24"/>
      <c r="H54" s="27"/>
      <c r="I54" s="21" t="s">
        <v>93</v>
      </c>
      <c r="J54" s="19" t="s">
        <v>179</v>
      </c>
      <c r="K54" s="19"/>
      <c r="L54" s="27"/>
    </row>
    <row r="55" spans="1:12" s="17" customFormat="1" x14ac:dyDescent="0.3">
      <c r="A55" s="57" t="s">
        <v>73</v>
      </c>
      <c r="B55" s="57"/>
      <c r="C55" s="57"/>
      <c r="D55" s="30">
        <f>SUM(D49:D54)</f>
        <v>17</v>
      </c>
      <c r="E55" s="30">
        <v>1</v>
      </c>
      <c r="F55" s="30">
        <f>SUM(D55:E55)</f>
        <v>18</v>
      </c>
      <c r="G55" s="25"/>
      <c r="H55" s="28"/>
      <c r="I55" s="22"/>
      <c r="J55" s="30"/>
      <c r="K55" s="30"/>
      <c r="L55" s="28"/>
    </row>
    <row r="56" spans="1:12" x14ac:dyDescent="0.3">
      <c r="A56" s="19"/>
      <c r="B56" s="19"/>
      <c r="C56" s="19"/>
      <c r="D56" s="19"/>
      <c r="E56" s="19"/>
      <c r="F56" s="19"/>
      <c r="G56" s="24"/>
      <c r="H56" s="27" t="s">
        <v>85</v>
      </c>
      <c r="I56" s="21"/>
      <c r="J56" s="19"/>
      <c r="K56" s="19"/>
      <c r="L56" s="27"/>
    </row>
    <row r="57" spans="1:12" x14ac:dyDescent="0.3">
      <c r="A57" s="19"/>
      <c r="B57" s="19" t="s">
        <v>53</v>
      </c>
      <c r="C57" s="19" t="s">
        <v>126</v>
      </c>
      <c r="D57" s="19">
        <v>6</v>
      </c>
      <c r="E57" s="19"/>
      <c r="F57" s="38">
        <f t="shared" ref="F57" si="6">SUM(D57:E57)</f>
        <v>6</v>
      </c>
      <c r="G57" s="24"/>
      <c r="H57" s="27"/>
      <c r="I57" s="21" t="s">
        <v>92</v>
      </c>
      <c r="J57" s="19" t="s">
        <v>179</v>
      </c>
      <c r="K57" s="19"/>
      <c r="L57" s="27" t="s">
        <v>599</v>
      </c>
    </row>
    <row r="58" spans="1:12" s="17" customFormat="1" x14ac:dyDescent="0.3">
      <c r="A58" s="57" t="s">
        <v>73</v>
      </c>
      <c r="B58" s="57"/>
      <c r="C58" s="57"/>
      <c r="D58" s="30">
        <f>SUM(D57)</f>
        <v>6</v>
      </c>
      <c r="E58" s="30"/>
      <c r="F58" s="30"/>
      <c r="G58" s="25"/>
      <c r="H58" s="28"/>
      <c r="I58" s="22"/>
      <c r="J58" s="30"/>
      <c r="K58" s="30"/>
      <c r="L58" s="28"/>
    </row>
    <row r="59" spans="1:12" x14ac:dyDescent="0.3">
      <c r="A59" s="19"/>
      <c r="B59" s="19"/>
      <c r="C59" s="19"/>
      <c r="D59" s="19"/>
      <c r="E59" s="19"/>
      <c r="F59" s="19"/>
      <c r="G59" s="24" t="s">
        <v>158</v>
      </c>
      <c r="H59" s="27" t="s">
        <v>159</v>
      </c>
      <c r="I59" s="21"/>
      <c r="J59" s="19"/>
      <c r="K59" s="19"/>
      <c r="L59" s="27"/>
    </row>
    <row r="60" spans="1:12" x14ac:dyDescent="0.3">
      <c r="A60" s="19"/>
      <c r="B60" s="19" t="s">
        <v>54</v>
      </c>
      <c r="C60" s="19" t="s">
        <v>80</v>
      </c>
      <c r="D60" s="19">
        <v>3</v>
      </c>
      <c r="E60" s="19"/>
      <c r="F60" s="38">
        <f t="shared" ref="F60:F65" si="7">SUM(D60:E60)</f>
        <v>3</v>
      </c>
      <c r="G60" s="24"/>
      <c r="H60" s="27"/>
      <c r="I60" s="21" t="s">
        <v>92</v>
      </c>
      <c r="J60" s="19" t="s">
        <v>179</v>
      </c>
      <c r="K60" s="19"/>
      <c r="L60" s="27" t="s">
        <v>591</v>
      </c>
    </row>
    <row r="61" spans="1:12" x14ac:dyDescent="0.3">
      <c r="A61" s="19"/>
      <c r="B61" s="19" t="s">
        <v>55</v>
      </c>
      <c r="C61" s="19" t="s">
        <v>79</v>
      </c>
      <c r="D61" s="19">
        <v>3</v>
      </c>
      <c r="E61" s="19"/>
      <c r="F61" s="38">
        <f t="shared" si="7"/>
        <v>3</v>
      </c>
      <c r="G61" s="24"/>
      <c r="H61" s="27"/>
      <c r="I61" s="21" t="s">
        <v>92</v>
      </c>
      <c r="J61" s="19" t="s">
        <v>179</v>
      </c>
      <c r="K61" s="19"/>
      <c r="L61" s="27" t="s">
        <v>591</v>
      </c>
    </row>
    <row r="62" spans="1:12" x14ac:dyDescent="0.3">
      <c r="A62" s="19"/>
      <c r="B62" s="19" t="s">
        <v>56</v>
      </c>
      <c r="C62" s="19" t="s">
        <v>78</v>
      </c>
      <c r="D62" s="19">
        <v>3</v>
      </c>
      <c r="E62" s="19"/>
      <c r="F62" s="38">
        <f t="shared" si="7"/>
        <v>3</v>
      </c>
      <c r="G62" s="24"/>
      <c r="H62" s="27"/>
      <c r="I62" s="21" t="s">
        <v>93</v>
      </c>
      <c r="J62" s="19" t="s">
        <v>179</v>
      </c>
      <c r="K62" s="19"/>
      <c r="L62" s="27"/>
    </row>
    <row r="63" spans="1:12" x14ac:dyDescent="0.3">
      <c r="A63" s="19"/>
      <c r="B63" s="19" t="s">
        <v>59</v>
      </c>
      <c r="C63" s="19" t="s">
        <v>75</v>
      </c>
      <c r="D63" s="19">
        <v>3</v>
      </c>
      <c r="E63" s="19"/>
      <c r="F63" s="38">
        <f t="shared" si="7"/>
        <v>3</v>
      </c>
      <c r="G63" s="24"/>
      <c r="H63" s="27"/>
      <c r="I63" s="21" t="s">
        <v>93</v>
      </c>
      <c r="J63" s="19" t="s">
        <v>179</v>
      </c>
      <c r="K63" s="19"/>
      <c r="L63" s="27"/>
    </row>
    <row r="64" spans="1:12" x14ac:dyDescent="0.3">
      <c r="A64" s="19"/>
      <c r="B64" s="19" t="s">
        <v>344</v>
      </c>
      <c r="C64" s="19" t="s">
        <v>353</v>
      </c>
      <c r="D64" s="19">
        <v>2</v>
      </c>
      <c r="E64" s="19">
        <v>1</v>
      </c>
      <c r="F64" s="38">
        <f t="shared" si="7"/>
        <v>3</v>
      </c>
      <c r="G64" s="24"/>
      <c r="H64" s="27"/>
      <c r="I64" s="21" t="s">
        <v>296</v>
      </c>
      <c r="J64" s="19" t="s">
        <v>179</v>
      </c>
      <c r="K64" s="19"/>
      <c r="L64" s="27"/>
    </row>
    <row r="65" spans="1:12" x14ac:dyDescent="0.3">
      <c r="A65" s="19"/>
      <c r="B65" s="19" t="s">
        <v>345</v>
      </c>
      <c r="C65" s="19" t="s">
        <v>354</v>
      </c>
      <c r="D65" s="19">
        <v>2</v>
      </c>
      <c r="E65" s="19">
        <v>1</v>
      </c>
      <c r="F65" s="38">
        <f t="shared" si="7"/>
        <v>3</v>
      </c>
      <c r="G65" s="24"/>
      <c r="H65" s="27"/>
      <c r="I65" s="21" t="s">
        <v>296</v>
      </c>
      <c r="J65" s="19" t="s">
        <v>179</v>
      </c>
      <c r="K65" s="19"/>
      <c r="L65" s="27"/>
    </row>
    <row r="66" spans="1:12" s="17" customFormat="1" x14ac:dyDescent="0.3">
      <c r="A66" s="57" t="s">
        <v>73</v>
      </c>
      <c r="B66" s="57"/>
      <c r="C66" s="57"/>
      <c r="D66" s="30">
        <f>SUM(D60:D65)</f>
        <v>16</v>
      </c>
      <c r="E66" s="30">
        <v>2</v>
      </c>
      <c r="F66" s="30">
        <f>SUM(D66:E66)</f>
        <v>18</v>
      </c>
      <c r="G66" s="25"/>
      <c r="H66" s="28"/>
      <c r="I66" s="22"/>
      <c r="J66" s="30"/>
      <c r="K66" s="30"/>
      <c r="L66" s="28"/>
    </row>
    <row r="67" spans="1:12" x14ac:dyDescent="0.3">
      <c r="A67" s="19"/>
      <c r="B67" s="19"/>
      <c r="C67" s="19"/>
      <c r="D67" s="19"/>
      <c r="E67" s="19"/>
      <c r="F67" s="19"/>
      <c r="G67" s="24"/>
      <c r="H67" s="27" t="s">
        <v>81</v>
      </c>
      <c r="I67" s="21"/>
      <c r="J67" s="19"/>
      <c r="K67" s="19"/>
      <c r="L67" s="27"/>
    </row>
    <row r="68" spans="1:12" x14ac:dyDescent="0.3">
      <c r="A68" s="19"/>
      <c r="B68" s="19" t="s">
        <v>61</v>
      </c>
      <c r="C68" s="19" t="s">
        <v>72</v>
      </c>
      <c r="D68" s="19">
        <v>2</v>
      </c>
      <c r="E68" s="19"/>
      <c r="F68" s="38">
        <f t="shared" ref="F68:F74" si="8">SUM(D68:E68)</f>
        <v>2</v>
      </c>
      <c r="G68" s="24"/>
      <c r="H68" s="27"/>
      <c r="I68" s="21" t="s">
        <v>92</v>
      </c>
      <c r="J68" s="19" t="s">
        <v>179</v>
      </c>
      <c r="K68" s="19"/>
      <c r="L68" s="27" t="s">
        <v>591</v>
      </c>
    </row>
    <row r="69" spans="1:12" x14ac:dyDescent="0.3">
      <c r="A69" s="19"/>
      <c r="B69" s="19" t="s">
        <v>62</v>
      </c>
      <c r="C69" s="19" t="s">
        <v>71</v>
      </c>
      <c r="D69" s="19">
        <v>3</v>
      </c>
      <c r="E69" s="19"/>
      <c r="F69" s="38">
        <f t="shared" si="8"/>
        <v>3</v>
      </c>
      <c r="G69" s="24" t="s">
        <v>92</v>
      </c>
      <c r="H69" s="27"/>
      <c r="I69" s="21" t="s">
        <v>92</v>
      </c>
      <c r="J69" s="19" t="s">
        <v>179</v>
      </c>
      <c r="K69" s="19"/>
      <c r="L69" s="27" t="s">
        <v>591</v>
      </c>
    </row>
    <row r="70" spans="1:12" x14ac:dyDescent="0.3">
      <c r="A70" s="19"/>
      <c r="B70" s="19" t="s">
        <v>63</v>
      </c>
      <c r="C70" s="19" t="s">
        <v>70</v>
      </c>
      <c r="D70" s="19">
        <v>3</v>
      </c>
      <c r="E70" s="19"/>
      <c r="F70" s="38">
        <f t="shared" si="8"/>
        <v>3</v>
      </c>
      <c r="G70" s="24"/>
      <c r="H70" s="27"/>
      <c r="I70" s="21" t="s">
        <v>93</v>
      </c>
      <c r="J70" s="19" t="s">
        <v>179</v>
      </c>
      <c r="K70" s="19"/>
      <c r="L70" s="27"/>
    </row>
    <row r="71" spans="1:12" x14ac:dyDescent="0.3">
      <c r="A71" s="19"/>
      <c r="B71" s="19" t="s">
        <v>64</v>
      </c>
      <c r="C71" s="19" t="s">
        <v>69</v>
      </c>
      <c r="D71" s="19">
        <v>3</v>
      </c>
      <c r="E71" s="19"/>
      <c r="F71" s="38">
        <f t="shared" si="8"/>
        <v>3</v>
      </c>
      <c r="G71" s="24"/>
      <c r="H71" s="27"/>
      <c r="I71" s="21" t="s">
        <v>93</v>
      </c>
      <c r="J71" s="19" t="s">
        <v>179</v>
      </c>
      <c r="K71" s="19"/>
      <c r="L71" s="27"/>
    </row>
    <row r="72" spans="1:12" x14ac:dyDescent="0.3">
      <c r="A72" s="19"/>
      <c r="B72" s="19" t="s">
        <v>347</v>
      </c>
      <c r="C72" s="19" t="s">
        <v>357</v>
      </c>
      <c r="D72" s="19">
        <v>2</v>
      </c>
      <c r="E72" s="19">
        <v>1</v>
      </c>
      <c r="F72" s="38">
        <f t="shared" si="8"/>
        <v>3</v>
      </c>
      <c r="G72" s="24"/>
      <c r="H72" s="27"/>
      <c r="I72" s="21" t="s">
        <v>296</v>
      </c>
      <c r="J72" s="19" t="s">
        <v>179</v>
      </c>
      <c r="K72" s="19"/>
      <c r="L72" s="27"/>
    </row>
    <row r="73" spans="1:12" x14ac:dyDescent="0.3">
      <c r="A73" s="19"/>
      <c r="B73" s="19" t="s">
        <v>348</v>
      </c>
      <c r="C73" s="19" t="s">
        <v>358</v>
      </c>
      <c r="D73" s="19">
        <v>2</v>
      </c>
      <c r="E73" s="19">
        <v>1</v>
      </c>
      <c r="F73" s="38">
        <f t="shared" si="8"/>
        <v>3</v>
      </c>
      <c r="G73" s="24"/>
      <c r="H73" s="27"/>
      <c r="I73" s="21" t="s">
        <v>296</v>
      </c>
      <c r="J73" s="19" t="s">
        <v>179</v>
      </c>
      <c r="K73" s="19"/>
      <c r="L73" s="27"/>
    </row>
    <row r="74" spans="1:12" x14ac:dyDescent="0.3">
      <c r="A74" s="19"/>
      <c r="B74" s="19" t="s">
        <v>60</v>
      </c>
      <c r="C74" s="19" t="s">
        <v>327</v>
      </c>
      <c r="D74" s="19">
        <v>2</v>
      </c>
      <c r="E74" s="19"/>
      <c r="F74" s="38">
        <f t="shared" si="8"/>
        <v>2</v>
      </c>
      <c r="G74" s="24"/>
      <c r="H74" s="27"/>
      <c r="I74" s="21" t="s">
        <v>102</v>
      </c>
      <c r="J74" s="19"/>
      <c r="K74" s="19"/>
      <c r="L74" s="27"/>
    </row>
    <row r="75" spans="1:12" s="17" customFormat="1" x14ac:dyDescent="0.3">
      <c r="A75" s="57" t="s">
        <v>73</v>
      </c>
      <c r="B75" s="57"/>
      <c r="C75" s="57"/>
      <c r="D75" s="30">
        <f>SUM(D68:D74)</f>
        <v>17</v>
      </c>
      <c r="E75" s="30">
        <v>2</v>
      </c>
      <c r="F75" s="30">
        <f>SUM(D75:E75)</f>
        <v>19</v>
      </c>
      <c r="G75" s="25"/>
      <c r="H75" s="28"/>
      <c r="I75" s="22"/>
      <c r="J75" s="30"/>
      <c r="K75" s="30"/>
      <c r="L75" s="28"/>
    </row>
    <row r="77" spans="1:12" x14ac:dyDescent="0.3">
      <c r="A77" s="38" t="s">
        <v>608</v>
      </c>
      <c r="B77" s="38">
        <f>SUMIF(I1:I75,I74,F1:F75)</f>
        <v>11</v>
      </c>
    </row>
    <row r="78" spans="1:12" x14ac:dyDescent="0.3">
      <c r="A78" s="38" t="s">
        <v>93</v>
      </c>
      <c r="B78" s="38">
        <f>SUMIF(I1:I75,I70,F1:F75)</f>
        <v>42</v>
      </c>
    </row>
    <row r="79" spans="1:12" x14ac:dyDescent="0.3">
      <c r="A79" s="38" t="s">
        <v>296</v>
      </c>
      <c r="B79" s="38">
        <f>SUMIF(I1:I75,I73,F1:F75)</f>
        <v>41</v>
      </c>
    </row>
    <row r="80" spans="1:12" x14ac:dyDescent="0.3">
      <c r="A80" s="38" t="s">
        <v>92</v>
      </c>
      <c r="B80" s="38">
        <f>SUMIF(I1:I75,I68,F1:F75)</f>
        <v>55</v>
      </c>
    </row>
    <row r="81" spans="1:2" x14ac:dyDescent="0.3">
      <c r="A81" s="38" t="s">
        <v>610</v>
      </c>
      <c r="B81" s="38">
        <f>SUM(B77:B80)</f>
        <v>149</v>
      </c>
    </row>
    <row r="82" spans="1:2" x14ac:dyDescent="0.3">
      <c r="A82" s="38"/>
      <c r="B82" s="38"/>
    </row>
    <row r="83" spans="1:2" x14ac:dyDescent="0.3">
      <c r="A83" s="38"/>
      <c r="B83" s="38"/>
    </row>
    <row r="84" spans="1:2" x14ac:dyDescent="0.3">
      <c r="A84" s="38" t="s">
        <v>604</v>
      </c>
      <c r="B84" s="38"/>
    </row>
    <row r="85" spans="1:2" x14ac:dyDescent="0.3">
      <c r="A85" s="38" t="s">
        <v>605</v>
      </c>
      <c r="B85" s="38" t="s">
        <v>606</v>
      </c>
    </row>
    <row r="86" spans="1:2" x14ac:dyDescent="0.3">
      <c r="A86" s="38" t="s">
        <v>607</v>
      </c>
      <c r="B86" s="38" t="s">
        <v>606</v>
      </c>
    </row>
  </sheetData>
  <mergeCells count="11">
    <mergeCell ref="D1:F1"/>
    <mergeCell ref="A55:C55"/>
    <mergeCell ref="A58:C58"/>
    <mergeCell ref="A66:C66"/>
    <mergeCell ref="A75:C75"/>
    <mergeCell ref="D2:F2"/>
    <mergeCell ref="A12:C12"/>
    <mergeCell ref="A23:C23"/>
    <mergeCell ref="A31:C31"/>
    <mergeCell ref="A39:C39"/>
    <mergeCell ref="A47:C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TGEOHIST</vt:lpstr>
      <vt:lpstr>TGEOKIS</vt:lpstr>
      <vt:lpstr>THISTKIS</vt:lpstr>
      <vt:lpstr>THISTCRE</vt:lpstr>
      <vt:lpstr>TCREGEO</vt:lpstr>
      <vt:lpstr>TCREKIS</vt:lpstr>
      <vt:lpstr>TENGLIT</vt:lpstr>
      <vt:lpstr>TCHEAGR</vt:lpstr>
      <vt:lpstr>TBIOAGR</vt:lpstr>
      <vt:lpstr>THOSAGR</vt:lpstr>
      <vt:lpstr>TCHEMAT</vt:lpstr>
      <vt:lpstr>TMATPHY</vt:lpstr>
      <vt:lpstr>TCOMMAT</vt:lpstr>
      <vt:lpstr>TMATBIO</vt:lpstr>
      <vt:lpstr>TMATBUS</vt:lpstr>
      <vt:lpstr>TCHEBIO</vt:lpstr>
      <vt:lpstr>TCHEPHY</vt:lpstr>
      <vt:lpstr>TCOMPHY</vt:lpstr>
      <vt:lpstr>TGEOBIO</vt:lpstr>
      <vt:lpstr>THOSBIO</vt:lpstr>
      <vt:lpstr>TCHEHOS</vt:lpstr>
      <vt:lpstr>TGEOBUS</vt:lpstr>
      <vt:lpstr>TBIOBUS</vt:lpstr>
      <vt:lpstr>TBUSCHE</vt:lpstr>
      <vt:lpstr>TGEOAGR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2022-05-17T08:31:42Z</dcterms:modified>
</cp:coreProperties>
</file>